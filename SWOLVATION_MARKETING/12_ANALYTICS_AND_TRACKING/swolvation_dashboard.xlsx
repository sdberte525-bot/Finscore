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eekly KPIs" sheetId="2" state="visible" r:id="rId2"/>
    <sheet xmlns:r="http://schemas.openxmlformats.org/officeDocument/2006/relationships" name="Content log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UTM buil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0.0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  <sz val="13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8F1E4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3" fillId="2" borderId="0" pivotButton="0" quotePrefix="0" xfId="0"/>
    <xf numFmtId="165" fontId="0" fillId="4" borderId="0" pivotButton="0" quotePrefix="0" xfId="0"/>
    <xf numFmtId="166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SWOLVATION founder dashboard</t>
        </is>
      </c>
    </row>
    <row r="2">
      <c r="A2" s="2" t="inlineStr"/>
    </row>
    <row r="3">
      <c r="A3" s="2" t="inlineStr">
        <is>
          <t>1. Fill the yellow cells in "Unit economics" with your real PODpartner costs and shipping rate. Green cells calculate.</t>
        </is>
      </c>
    </row>
    <row r="4">
      <c r="A4" s="2" t="inlineStr">
        <is>
          <t>2. Every Sunday, add one row to "Weekly KPIs" (numbers from Instagram Insights, TikTok Analytics, Shopify Analytics and the outreach tracker). Ratio columns calculate.</t>
        </is>
      </c>
    </row>
    <row r="5">
      <c r="A5" s="2" t="inlineStr">
        <is>
          <t>3. Log every post in "Content log" 48–72 hours after posting. Sort by Shares/1K or Saves/1K to find what to repeat.</t>
        </is>
      </c>
    </row>
    <row r="6">
      <c r="A6" s="2" t="inlineStr">
        <is>
          <t>4. Build every link you post with "UTM builder" so Shopify can show which channel and post drove sessions and orders.</t>
        </is>
      </c>
    </row>
    <row r="7">
      <c r="A7" s="2" t="inlineStr"/>
    </row>
    <row r="8">
      <c r="A8" s="2" t="inlineStr">
        <is>
          <t>Rules: judge content by shares, saves, profile visits, link clicks and signups, not views. Don't claim a post "caused" sales unless the UTM or discount code shows it. One week of data is noise; look at 3-week trends.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9" customWidth="1" min="4" max="4"/>
    <col width="14" customWidth="1" min="5" max="5"/>
    <col width="14" customWidth="1" min="6" max="6"/>
    <col width="15.3" customWidth="1" min="7" max="7"/>
    <col width="14.4" customWidth="1" min="8" max="8"/>
    <col width="14" customWidth="1" min="9" max="9"/>
    <col width="14" customWidth="1" min="10" max="10"/>
    <col width="18.9" customWidth="1" min="11" max="11"/>
    <col width="14" customWidth="1" min="12" max="12"/>
    <col width="14" customWidth="1" min="13" max="13"/>
    <col width="14.4" customWidth="1" min="14" max="14"/>
    <col width="16.2" customWidth="1" min="15" max="15"/>
    <col width="14.4" customWidth="1" min="16" max="16"/>
    <col width="14" customWidth="1" min="17" max="17"/>
    <col width="18" customWidth="1" min="18" max="18"/>
    <col width="15.3" customWidth="1" min="19" max="19"/>
    <col width="14" customWidth="1" min="20" max="20"/>
    <col width="14" customWidth="1" min="21" max="21"/>
    <col width="14" customWidth="1" min="22" max="22"/>
    <col width="14" customWidth="1" min="23" max="23"/>
    <col width="15.3" customWidth="1" min="24" max="24"/>
    <col width="32.4" customWidth="1" min="25" max="25"/>
    <col width="15.3" customWidth="1" min="26" max="26"/>
    <col width="14" customWidth="1" min="27" max="27"/>
    <col width="14" customWidth="1" min="28" max="28"/>
    <col width="18" customWidth="1" min="29" max="29"/>
    <col width="14.4" customWidth="1" min="30" max="30"/>
    <col width="17.1" customWidth="1" min="31" max="31"/>
    <col width="14" customWidth="1" min="32" max="32"/>
    <col width="14" customWidth="1" min="33" max="33"/>
    <col width="14" customWidth="1" min="34" max="34"/>
    <col width="16.2" customWidth="1" min="35" max="35"/>
    <col width="16.2" customWidth="1" min="36" max="36"/>
    <col width="14.4" customWidth="1" min="37" max="37"/>
  </cols>
  <sheetData>
    <row r="1" ht="36" customHeight="1">
      <c r="A1" s="3" t="inlineStr">
        <is>
          <t>Week starting</t>
        </is>
      </c>
      <c r="B1" s="3" t="inlineStr">
        <is>
          <t>IG views</t>
        </is>
      </c>
      <c r="C1" s="3" t="inlineStr">
        <is>
          <t>IG reach</t>
        </is>
      </c>
      <c r="D1" s="3" t="inlineStr">
        <is>
          <t>IG avg watch time (s)</t>
        </is>
      </c>
      <c r="E1" s="3" t="inlineStr">
        <is>
          <t>IG shares</t>
        </is>
      </c>
      <c r="F1" s="3" t="inlineStr">
        <is>
          <t>IG saves</t>
        </is>
      </c>
      <c r="G1" s="3" t="inlineStr">
        <is>
          <t>IG profile visits</t>
        </is>
      </c>
      <c r="H1" s="3" t="inlineStr">
        <is>
          <t>IG new followers</t>
        </is>
      </c>
      <c r="I1" s="3" t="inlineStr">
        <is>
          <t>IG link clicks</t>
        </is>
      </c>
      <c r="J1" s="3" t="inlineStr">
        <is>
          <t>TT views</t>
        </is>
      </c>
      <c r="K1" s="3" t="inlineStr">
        <is>
          <t>TT avg watch time (s)</t>
        </is>
      </c>
      <c r="L1" s="3" t="inlineStr">
        <is>
          <t>TT completion %</t>
        </is>
      </c>
      <c r="M1" s="3" t="inlineStr">
        <is>
          <t>TT shares</t>
        </is>
      </c>
      <c r="N1" s="3" t="inlineStr">
        <is>
          <t>TT profile views</t>
        </is>
      </c>
      <c r="O1" s="3" t="inlineStr">
        <is>
          <t>TT link/bio clicks</t>
        </is>
      </c>
      <c r="P1" s="3" t="inlineStr">
        <is>
          <t>Shopify sessions</t>
        </is>
      </c>
      <c r="Q1" s="3" t="inlineStr">
        <is>
          <t>Email signups</t>
        </is>
      </c>
      <c r="R1" s="3" t="inlineStr">
        <is>
          <t>Add-to-cart sessions</t>
        </is>
      </c>
      <c r="S1" s="3" t="inlineStr">
        <is>
          <t>Checkouts started</t>
        </is>
      </c>
      <c r="T1" s="3" t="inlineStr">
        <is>
          <t>Orders</t>
        </is>
      </c>
      <c r="U1" s="3" t="inlineStr">
        <is>
          <t>Gross sales $</t>
        </is>
      </c>
      <c r="V1" s="3" t="inlineStr">
        <is>
          <t>Discounts $</t>
        </is>
      </c>
      <c r="W1" s="3" t="inlineStr">
        <is>
          <t>Net sales $</t>
        </is>
      </c>
      <c r="X1" s="3" t="inlineStr">
        <is>
          <t>Avg order value $</t>
        </is>
      </c>
      <c r="Y1" s="3" t="inlineStr">
        <is>
          <t>Contribution $ (from Unit economics)</t>
        </is>
      </c>
      <c r="Z1" s="3" t="inlineStr">
        <is>
          <t>Outreach attempts</t>
        </is>
      </c>
      <c r="AA1" s="3" t="inlineStr">
        <is>
          <t>Replies</t>
        </is>
      </c>
      <c r="AB1" s="3" t="inlineStr">
        <is>
          <t>Collabs agreed</t>
        </is>
      </c>
      <c r="AC1" s="3" t="inlineStr">
        <is>
          <t>Referral/code clicks</t>
        </is>
      </c>
      <c r="AD1" s="3" t="inlineStr">
        <is>
          <t>Code redemptions</t>
        </is>
      </c>
      <c r="AE1" s="3" t="inlineStr">
        <is>
          <t>Attributable orders</t>
        </is>
      </c>
      <c r="AF1" s="3" t="inlineStr">
        <is>
          <t>Conv. rate %</t>
        </is>
      </c>
      <c r="AG1" s="3" t="inlineStr">
        <is>
          <t>Signup rate %</t>
        </is>
      </c>
      <c r="AH1" s="3" t="inlineStr">
        <is>
          <t>ATC rate %</t>
        </is>
      </c>
      <c r="AI1" s="3" t="inlineStr">
        <is>
          <t>IG shares/1K reach</t>
        </is>
      </c>
      <c r="AJ1" s="3" t="inlineStr">
        <is>
          <t>TT shares/1K views</t>
        </is>
      </c>
      <c r="AK1" s="3" t="inlineStr">
        <is>
          <t>Notes / decision</t>
        </is>
      </c>
    </row>
    <row r="2">
      <c r="W2" s="4">
        <f>IF(U2="","",U2-V2)</f>
        <v/>
      </c>
      <c r="X2" s="4">
        <f>IFERROR(W2/T2,"")</f>
        <v/>
      </c>
      <c r="AF2" s="5">
        <f>IFERROR(T2/P2,"")</f>
        <v/>
      </c>
      <c r="AG2" s="5">
        <f>IFERROR(Q2/P2,"")</f>
        <v/>
      </c>
      <c r="AH2" s="5">
        <f>IFERROR(R2/P2,"")</f>
        <v/>
      </c>
      <c r="AI2" s="6">
        <f>IFERROR(E2/C2*1000,"")</f>
        <v/>
      </c>
      <c r="AJ2" s="6">
        <f>IFERROR(M2/J2*1000,"")</f>
        <v/>
      </c>
    </row>
    <row r="3">
      <c r="W3" s="4">
        <f>IF(U3="","",U3-V3)</f>
        <v/>
      </c>
      <c r="X3" s="4">
        <f>IFERROR(W3/T3,"")</f>
        <v/>
      </c>
      <c r="AF3" s="5">
        <f>IFERROR(T3/P3,"")</f>
        <v/>
      </c>
      <c r="AG3" s="5">
        <f>IFERROR(Q3/P3,"")</f>
        <v/>
      </c>
      <c r="AH3" s="5">
        <f>IFERROR(R3/P3,"")</f>
        <v/>
      </c>
      <c r="AI3" s="6">
        <f>IFERROR(E3/C3*1000,"")</f>
        <v/>
      </c>
      <c r="AJ3" s="6">
        <f>IFERROR(M3/J3*1000,"")</f>
        <v/>
      </c>
    </row>
    <row r="4">
      <c r="W4" s="4">
        <f>IF(U4="","",U4-V4)</f>
        <v/>
      </c>
      <c r="X4" s="4">
        <f>IFERROR(W4/T4,"")</f>
        <v/>
      </c>
      <c r="AF4" s="5">
        <f>IFERROR(T4/P4,"")</f>
        <v/>
      </c>
      <c r="AG4" s="5">
        <f>IFERROR(Q4/P4,"")</f>
        <v/>
      </c>
      <c r="AH4" s="5">
        <f>IFERROR(R4/P4,"")</f>
        <v/>
      </c>
      <c r="AI4" s="6">
        <f>IFERROR(E4/C4*1000,"")</f>
        <v/>
      </c>
      <c r="AJ4" s="6">
        <f>IFERROR(M4/J4*1000,"")</f>
        <v/>
      </c>
    </row>
    <row r="5">
      <c r="W5" s="4">
        <f>IF(U5="","",U5-V5)</f>
        <v/>
      </c>
      <c r="X5" s="4">
        <f>IFERROR(W5/T5,"")</f>
        <v/>
      </c>
      <c r="AF5" s="5">
        <f>IFERROR(T5/P5,"")</f>
        <v/>
      </c>
      <c r="AG5" s="5">
        <f>IFERROR(Q5/P5,"")</f>
        <v/>
      </c>
      <c r="AH5" s="5">
        <f>IFERROR(R5/P5,"")</f>
        <v/>
      </c>
      <c r="AI5" s="6">
        <f>IFERROR(E5/C5*1000,"")</f>
        <v/>
      </c>
      <c r="AJ5" s="6">
        <f>IFERROR(M5/J5*1000,"")</f>
        <v/>
      </c>
    </row>
    <row r="6">
      <c r="W6" s="4">
        <f>IF(U6="","",U6-V6)</f>
        <v/>
      </c>
      <c r="X6" s="4">
        <f>IFERROR(W6/T6,"")</f>
        <v/>
      </c>
      <c r="AF6" s="5">
        <f>IFERROR(T6/P6,"")</f>
        <v/>
      </c>
      <c r="AG6" s="5">
        <f>IFERROR(Q6/P6,"")</f>
        <v/>
      </c>
      <c r="AH6" s="5">
        <f>IFERROR(R6/P6,"")</f>
        <v/>
      </c>
      <c r="AI6" s="6">
        <f>IFERROR(E6/C6*1000,"")</f>
        <v/>
      </c>
      <c r="AJ6" s="6">
        <f>IFERROR(M6/J6*1000,"")</f>
        <v/>
      </c>
    </row>
    <row r="7">
      <c r="W7" s="4">
        <f>IF(U7="","",U7-V7)</f>
        <v/>
      </c>
      <c r="X7" s="4">
        <f>IFERROR(W7/T7,"")</f>
        <v/>
      </c>
      <c r="AF7" s="5">
        <f>IFERROR(T7/P7,"")</f>
        <v/>
      </c>
      <c r="AG7" s="5">
        <f>IFERROR(Q7/P7,"")</f>
        <v/>
      </c>
      <c r="AH7" s="5">
        <f>IFERROR(R7/P7,"")</f>
        <v/>
      </c>
      <c r="AI7" s="6">
        <f>IFERROR(E7/C7*1000,"")</f>
        <v/>
      </c>
      <c r="AJ7" s="6">
        <f>IFERROR(M7/J7*1000,"")</f>
        <v/>
      </c>
    </row>
    <row r="8">
      <c r="W8" s="4">
        <f>IF(U8="","",U8-V8)</f>
        <v/>
      </c>
      <c r="X8" s="4">
        <f>IFERROR(W8/T8,"")</f>
        <v/>
      </c>
      <c r="AF8" s="5">
        <f>IFERROR(T8/P8,"")</f>
        <v/>
      </c>
      <c r="AG8" s="5">
        <f>IFERROR(Q8/P8,"")</f>
        <v/>
      </c>
      <c r="AH8" s="5">
        <f>IFERROR(R8/P8,"")</f>
        <v/>
      </c>
      <c r="AI8" s="6">
        <f>IFERROR(E8/C8*1000,"")</f>
        <v/>
      </c>
      <c r="AJ8" s="6">
        <f>IFERROR(M8/J8*1000,"")</f>
        <v/>
      </c>
    </row>
    <row r="9">
      <c r="W9" s="4">
        <f>IF(U9="","",U9-V9)</f>
        <v/>
      </c>
      <c r="X9" s="4">
        <f>IFERROR(W9/T9,"")</f>
        <v/>
      </c>
      <c r="AF9" s="5">
        <f>IFERROR(T9/P9,"")</f>
        <v/>
      </c>
      <c r="AG9" s="5">
        <f>IFERROR(Q9/P9,"")</f>
        <v/>
      </c>
      <c r="AH9" s="5">
        <f>IFERROR(R9/P9,"")</f>
        <v/>
      </c>
      <c r="AI9" s="6">
        <f>IFERROR(E9/C9*1000,"")</f>
        <v/>
      </c>
      <c r="AJ9" s="6">
        <f>IFERROR(M9/J9*1000,"")</f>
        <v/>
      </c>
    </row>
    <row r="10">
      <c r="W10" s="4">
        <f>IF(U10="","",U10-V10)</f>
        <v/>
      </c>
      <c r="X10" s="4">
        <f>IFERROR(W10/T10,"")</f>
        <v/>
      </c>
      <c r="AF10" s="5">
        <f>IFERROR(T10/P10,"")</f>
        <v/>
      </c>
      <c r="AG10" s="5">
        <f>IFERROR(Q10/P10,"")</f>
        <v/>
      </c>
      <c r="AH10" s="5">
        <f>IFERROR(R10/P10,"")</f>
        <v/>
      </c>
      <c r="AI10" s="6">
        <f>IFERROR(E10/C10*1000,"")</f>
        <v/>
      </c>
      <c r="AJ10" s="6">
        <f>IFERROR(M10/J10*1000,"")</f>
        <v/>
      </c>
    </row>
    <row r="11">
      <c r="W11" s="4">
        <f>IF(U11="","",U11-V11)</f>
        <v/>
      </c>
      <c r="X11" s="4">
        <f>IFERROR(W11/T11,"")</f>
        <v/>
      </c>
      <c r="AF11" s="5">
        <f>IFERROR(T11/P11,"")</f>
        <v/>
      </c>
      <c r="AG11" s="5">
        <f>IFERROR(Q11/P11,"")</f>
        <v/>
      </c>
      <c r="AH11" s="5">
        <f>IFERROR(R11/P11,"")</f>
        <v/>
      </c>
      <c r="AI11" s="6">
        <f>IFERROR(E11/C11*1000,"")</f>
        <v/>
      </c>
      <c r="AJ11" s="6">
        <f>IFERROR(M11/J11*1000,"")</f>
        <v/>
      </c>
    </row>
    <row r="12">
      <c r="W12" s="4">
        <f>IF(U12="","",U12-V12)</f>
        <v/>
      </c>
      <c r="X12" s="4">
        <f>IFERROR(W12/T12,"")</f>
        <v/>
      </c>
      <c r="AF12" s="5">
        <f>IFERROR(T12/P12,"")</f>
        <v/>
      </c>
      <c r="AG12" s="5">
        <f>IFERROR(Q12/P12,"")</f>
        <v/>
      </c>
      <c r="AH12" s="5">
        <f>IFERROR(R12/P12,"")</f>
        <v/>
      </c>
      <c r="AI12" s="6">
        <f>IFERROR(E12/C12*1000,"")</f>
        <v/>
      </c>
      <c r="AJ12" s="6">
        <f>IFERROR(M12/J12*1000,"")</f>
        <v/>
      </c>
    </row>
    <row r="13">
      <c r="W13" s="4">
        <f>IF(U13="","",U13-V13)</f>
        <v/>
      </c>
      <c r="X13" s="4">
        <f>IFERROR(W13/T13,"")</f>
        <v/>
      </c>
      <c r="AF13" s="5">
        <f>IFERROR(T13/P13,"")</f>
        <v/>
      </c>
      <c r="AG13" s="5">
        <f>IFERROR(Q13/P13,"")</f>
        <v/>
      </c>
      <c r="AH13" s="5">
        <f>IFERROR(R13/P13,"")</f>
        <v/>
      </c>
      <c r="AI13" s="6">
        <f>IFERROR(E13/C13*1000,"")</f>
        <v/>
      </c>
      <c r="AJ13" s="6">
        <f>IFERROR(M13/J13*1000,"")</f>
        <v/>
      </c>
    </row>
    <row r="14">
      <c r="W14" s="4">
        <f>IF(U14="","",U14-V14)</f>
        <v/>
      </c>
      <c r="X14" s="4">
        <f>IFERROR(W14/T14,"")</f>
        <v/>
      </c>
      <c r="AF14" s="5">
        <f>IFERROR(T14/P14,"")</f>
        <v/>
      </c>
      <c r="AG14" s="5">
        <f>IFERROR(Q14/P14,"")</f>
        <v/>
      </c>
      <c r="AH14" s="5">
        <f>IFERROR(R14/P14,"")</f>
        <v/>
      </c>
      <c r="AI14" s="6">
        <f>IFERROR(E14/C14*1000,"")</f>
        <v/>
      </c>
      <c r="AJ14" s="6">
        <f>IFERROR(M14/J14*1000,"")</f>
        <v/>
      </c>
    </row>
    <row r="15">
      <c r="W15" s="4">
        <f>IF(U15="","",U15-V15)</f>
        <v/>
      </c>
      <c r="X15" s="4">
        <f>IFERROR(W15/T15,"")</f>
        <v/>
      </c>
      <c r="AF15" s="5">
        <f>IFERROR(T15/P15,"")</f>
        <v/>
      </c>
      <c r="AG15" s="5">
        <f>IFERROR(Q15/P15,"")</f>
        <v/>
      </c>
      <c r="AH15" s="5">
        <f>IFERROR(R15/P15,"")</f>
        <v/>
      </c>
      <c r="AI15" s="6">
        <f>IFERROR(E15/C15*1000,"")</f>
        <v/>
      </c>
      <c r="AJ15" s="6">
        <f>IFERROR(M15/J15*1000,"")</f>
        <v/>
      </c>
    </row>
    <row r="16">
      <c r="W16" s="4">
        <f>IF(U16="","",U16-V16)</f>
        <v/>
      </c>
      <c r="X16" s="4">
        <f>IFERROR(W16/T16,"")</f>
        <v/>
      </c>
      <c r="AF16" s="5">
        <f>IFERROR(T16/P16,"")</f>
        <v/>
      </c>
      <c r="AG16" s="5">
        <f>IFERROR(Q16/P16,"")</f>
        <v/>
      </c>
      <c r="AH16" s="5">
        <f>IFERROR(R16/P16,"")</f>
        <v/>
      </c>
      <c r="AI16" s="6">
        <f>IFERROR(E16/C16*1000,"")</f>
        <v/>
      </c>
      <c r="AJ16" s="6">
        <f>IFERROR(M16/J16*1000,"")</f>
        <v/>
      </c>
    </row>
    <row r="17">
      <c r="W17" s="4">
        <f>IF(U17="","",U17-V17)</f>
        <v/>
      </c>
      <c r="X17" s="4">
        <f>IFERROR(W17/T17,"")</f>
        <v/>
      </c>
      <c r="AF17" s="5">
        <f>IFERROR(T17/P17,"")</f>
        <v/>
      </c>
      <c r="AG17" s="5">
        <f>IFERROR(Q17/P17,"")</f>
        <v/>
      </c>
      <c r="AH17" s="5">
        <f>IFERROR(R17/P17,"")</f>
        <v/>
      </c>
      <c r="AI17" s="6">
        <f>IFERROR(E17/C17*1000,"")</f>
        <v/>
      </c>
      <c r="AJ17" s="6">
        <f>IFERROR(M17/J17*1000,"")</f>
        <v/>
      </c>
    </row>
    <row r="18">
      <c r="W18" s="4">
        <f>IF(U18="","",U18-V18)</f>
        <v/>
      </c>
      <c r="X18" s="4">
        <f>IFERROR(W18/T18,"")</f>
        <v/>
      </c>
      <c r="AF18" s="5">
        <f>IFERROR(T18/P18,"")</f>
        <v/>
      </c>
      <c r="AG18" s="5">
        <f>IFERROR(Q18/P18,"")</f>
        <v/>
      </c>
      <c r="AH18" s="5">
        <f>IFERROR(R18/P18,"")</f>
        <v/>
      </c>
      <c r="AI18" s="6">
        <f>IFERROR(E18/C18*1000,"")</f>
        <v/>
      </c>
      <c r="AJ18" s="6">
        <f>IFERROR(M18/J18*1000,"")</f>
        <v/>
      </c>
    </row>
    <row r="19">
      <c r="W19" s="4">
        <f>IF(U19="","",U19-V19)</f>
        <v/>
      </c>
      <c r="X19" s="4">
        <f>IFERROR(W19/T19,"")</f>
        <v/>
      </c>
      <c r="AF19" s="5">
        <f>IFERROR(T19/P19,"")</f>
        <v/>
      </c>
      <c r="AG19" s="5">
        <f>IFERROR(Q19/P19,"")</f>
        <v/>
      </c>
      <c r="AH19" s="5">
        <f>IFERROR(R19/P19,"")</f>
        <v/>
      </c>
      <c r="AI19" s="6">
        <f>IFERROR(E19/C19*1000,"")</f>
        <v/>
      </c>
      <c r="AJ19" s="6">
        <f>IFERROR(M19/J19*1000,"")</f>
        <v/>
      </c>
    </row>
    <row r="20">
      <c r="W20" s="4">
        <f>IF(U20="","",U20-V20)</f>
        <v/>
      </c>
      <c r="X20" s="4">
        <f>IFERROR(W20/T20,"")</f>
        <v/>
      </c>
      <c r="AF20" s="5">
        <f>IFERROR(T20/P20,"")</f>
        <v/>
      </c>
      <c r="AG20" s="5">
        <f>IFERROR(Q20/P20,"")</f>
        <v/>
      </c>
      <c r="AH20" s="5">
        <f>IFERROR(R20/P20,"")</f>
        <v/>
      </c>
      <c r="AI20" s="6">
        <f>IFERROR(E20/C20*1000,"")</f>
        <v/>
      </c>
      <c r="AJ20" s="6">
        <f>IFERROR(M20/J20*1000,"")</f>
        <v/>
      </c>
    </row>
    <row r="21">
      <c r="W21" s="4">
        <f>IF(U21="","",U21-V21)</f>
        <v/>
      </c>
      <c r="X21" s="4">
        <f>IFERROR(W21/T21,"")</f>
        <v/>
      </c>
      <c r="AF21" s="5">
        <f>IFERROR(T21/P21,"")</f>
        <v/>
      </c>
      <c r="AG21" s="5">
        <f>IFERROR(Q21/P21,"")</f>
        <v/>
      </c>
      <c r="AH21" s="5">
        <f>IFERROR(R21/P21,"")</f>
        <v/>
      </c>
      <c r="AI21" s="6">
        <f>IFERROR(E21/C21*1000,"")</f>
        <v/>
      </c>
      <c r="AJ21" s="6">
        <f>IFERROR(M21/J21*1000,"")</f>
        <v/>
      </c>
    </row>
    <row r="22">
      <c r="W22" s="4">
        <f>IF(U22="","",U22-V22)</f>
        <v/>
      </c>
      <c r="X22" s="4">
        <f>IFERROR(W22/T22,"")</f>
        <v/>
      </c>
      <c r="AF22" s="5">
        <f>IFERROR(T22/P22,"")</f>
        <v/>
      </c>
      <c r="AG22" s="5">
        <f>IFERROR(Q22/P22,"")</f>
        <v/>
      </c>
      <c r="AH22" s="5">
        <f>IFERROR(R22/P22,"")</f>
        <v/>
      </c>
      <c r="AI22" s="6">
        <f>IFERROR(E22/C22*1000,"")</f>
        <v/>
      </c>
      <c r="AJ22" s="6">
        <f>IFERROR(M22/J22*1000,"")</f>
        <v/>
      </c>
    </row>
    <row r="23">
      <c r="W23" s="4">
        <f>IF(U23="","",U23-V23)</f>
        <v/>
      </c>
      <c r="X23" s="4">
        <f>IFERROR(W23/T23,"")</f>
        <v/>
      </c>
      <c r="AF23" s="5">
        <f>IFERROR(T23/P23,"")</f>
        <v/>
      </c>
      <c r="AG23" s="5">
        <f>IFERROR(Q23/P23,"")</f>
        <v/>
      </c>
      <c r="AH23" s="5">
        <f>IFERROR(R23/P23,"")</f>
        <v/>
      </c>
      <c r="AI23" s="6">
        <f>IFERROR(E23/C23*1000,"")</f>
        <v/>
      </c>
      <c r="AJ23" s="6">
        <f>IFERROR(M23/J23*1000,"")</f>
        <v/>
      </c>
    </row>
    <row r="24">
      <c r="W24" s="4">
        <f>IF(U24="","",U24-V24)</f>
        <v/>
      </c>
      <c r="X24" s="4">
        <f>IFERROR(W24/T24,"")</f>
        <v/>
      </c>
      <c r="AF24" s="5">
        <f>IFERROR(T24/P24,"")</f>
        <v/>
      </c>
      <c r="AG24" s="5">
        <f>IFERROR(Q24/P24,"")</f>
        <v/>
      </c>
      <c r="AH24" s="5">
        <f>IFERROR(R24/P24,"")</f>
        <v/>
      </c>
      <c r="AI24" s="6">
        <f>IFERROR(E24/C24*1000,"")</f>
        <v/>
      </c>
      <c r="AJ24" s="6">
        <f>IFERROR(M24/J24*1000,"")</f>
        <v/>
      </c>
    </row>
    <row r="25">
      <c r="W25" s="4">
        <f>IF(U25="","",U25-V25)</f>
        <v/>
      </c>
      <c r="X25" s="4">
        <f>IFERROR(W25/T25,"")</f>
        <v/>
      </c>
      <c r="AF25" s="5">
        <f>IFERROR(T25/P25,"")</f>
        <v/>
      </c>
      <c r="AG25" s="5">
        <f>IFERROR(Q25/P25,"")</f>
        <v/>
      </c>
      <c r="AH25" s="5">
        <f>IFERROR(R25/P25,"")</f>
        <v/>
      </c>
      <c r="AI25" s="6">
        <f>IFERROR(E25/C25*1000,"")</f>
        <v/>
      </c>
      <c r="AJ25" s="6">
        <f>IFERROR(M25/J25*1000,"")</f>
        <v/>
      </c>
    </row>
    <row r="26">
      <c r="W26" s="4">
        <f>IF(U26="","",U26-V26)</f>
        <v/>
      </c>
      <c r="X26" s="4">
        <f>IFERROR(W26/T26,"")</f>
        <v/>
      </c>
      <c r="AF26" s="5">
        <f>IFERROR(T26/P26,"")</f>
        <v/>
      </c>
      <c r="AG26" s="5">
        <f>IFERROR(Q26/P26,"")</f>
        <v/>
      </c>
      <c r="AH26" s="5">
        <f>IFERROR(R26/P26,"")</f>
        <v/>
      </c>
      <c r="AI26" s="6">
        <f>IFERROR(E26/C26*1000,"")</f>
        <v/>
      </c>
      <c r="AJ26" s="6">
        <f>IFERROR(M26/J26*1000,"")</f>
        <v/>
      </c>
    </row>
    <row r="27">
      <c r="W27" s="4">
        <f>IF(U27="","",U27-V27)</f>
        <v/>
      </c>
      <c r="X27" s="4">
        <f>IFERROR(W27/T27,"")</f>
        <v/>
      </c>
      <c r="AF27" s="5">
        <f>IFERROR(T27/P27,"")</f>
        <v/>
      </c>
      <c r="AG27" s="5">
        <f>IFERROR(Q27/P27,"")</f>
        <v/>
      </c>
      <c r="AH27" s="5">
        <f>IFERROR(R27/P27,"")</f>
        <v/>
      </c>
      <c r="AI27" s="6">
        <f>IFERROR(E27/C27*1000,"")</f>
        <v/>
      </c>
      <c r="AJ27" s="6">
        <f>IFERROR(M27/J27*1000,"")</f>
        <v/>
      </c>
    </row>
    <row r="28">
      <c r="W28" s="4">
        <f>IF(U28="","",U28-V28)</f>
        <v/>
      </c>
      <c r="X28" s="4">
        <f>IFERROR(W28/T28,"")</f>
        <v/>
      </c>
      <c r="AF28" s="5">
        <f>IFERROR(T28/P28,"")</f>
        <v/>
      </c>
      <c r="AG28" s="5">
        <f>IFERROR(Q28/P28,"")</f>
        <v/>
      </c>
      <c r="AH28" s="5">
        <f>IFERROR(R28/P28,"")</f>
        <v/>
      </c>
      <c r="AI28" s="6">
        <f>IFERROR(E28/C28*1000,"")</f>
        <v/>
      </c>
      <c r="AJ28" s="6">
        <f>IFERROR(M28/J28*1000,"")</f>
        <v/>
      </c>
    </row>
    <row r="29">
      <c r="W29" s="4">
        <f>IF(U29="","",U29-V29)</f>
        <v/>
      </c>
      <c r="X29" s="4">
        <f>IFERROR(W29/T29,"")</f>
        <v/>
      </c>
      <c r="AF29" s="5">
        <f>IFERROR(T29/P29,"")</f>
        <v/>
      </c>
      <c r="AG29" s="5">
        <f>IFERROR(Q29/P29,"")</f>
        <v/>
      </c>
      <c r="AH29" s="5">
        <f>IFERROR(R29/P29,"")</f>
        <v/>
      </c>
      <c r="AI29" s="6">
        <f>IFERROR(E29/C29*1000,"")</f>
        <v/>
      </c>
      <c r="AJ29" s="6">
        <f>IFERROR(M29/J29*1000,"")</f>
        <v/>
      </c>
    </row>
    <row r="30">
      <c r="W30" s="4">
        <f>IF(U30="","",U30-V30)</f>
        <v/>
      </c>
      <c r="X30" s="4">
        <f>IFERROR(W30/T30,"")</f>
        <v/>
      </c>
      <c r="AF30" s="5">
        <f>IFERROR(T30/P30,"")</f>
        <v/>
      </c>
      <c r="AG30" s="5">
        <f>IFERROR(Q30/P30,"")</f>
        <v/>
      </c>
      <c r="AH30" s="5">
        <f>IFERROR(R30/P30,"")</f>
        <v/>
      </c>
      <c r="AI30" s="6">
        <f>IFERROR(E30/C30*1000,"")</f>
        <v/>
      </c>
      <c r="AJ30" s="6">
        <f>IFERROR(M30/J30*1000,"")</f>
        <v/>
      </c>
    </row>
    <row r="31">
      <c r="W31" s="4">
        <f>IF(U31="","",U31-V31)</f>
        <v/>
      </c>
      <c r="X31" s="4">
        <f>IFERROR(W31/T31,"")</f>
        <v/>
      </c>
      <c r="AF31" s="5">
        <f>IFERROR(T31/P31,"")</f>
        <v/>
      </c>
      <c r="AG31" s="5">
        <f>IFERROR(Q31/P31,"")</f>
        <v/>
      </c>
      <c r="AH31" s="5">
        <f>IFERROR(R31/P31,"")</f>
        <v/>
      </c>
      <c r="AI31" s="6">
        <f>IFERROR(E31/C31*1000,"")</f>
        <v/>
      </c>
      <c r="AJ31" s="6">
        <f>IFERROR(M31/J31*1000,"")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7.9" customWidth="1" min="3" max="3"/>
    <col width="13" customWidth="1" min="4" max="4"/>
    <col width="19.8" customWidth="1" min="5" max="5"/>
    <col width="13" customWidth="1" min="6" max="6"/>
    <col width="16.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5.3" customWidth="1" min="18" max="18"/>
    <col width="18.9" customWidth="1" min="19" max="19"/>
    <col width="13" customWidth="1" min="20" max="20"/>
  </cols>
  <sheetData>
    <row r="1" ht="36" customHeight="1">
      <c r="A1" s="3" t="inlineStr">
        <is>
          <t>Date</t>
        </is>
      </c>
      <c r="B1" s="3" t="inlineStr">
        <is>
          <t>Platform</t>
        </is>
      </c>
      <c r="C1" s="3" t="inlineStr">
        <is>
          <t>Content ID (e.g. V3, R2, Day 7)</t>
        </is>
      </c>
      <c r="D1" s="3" t="inlineStr">
        <is>
          <t>Format</t>
        </is>
      </c>
      <c r="E1" s="3" t="inlineStr">
        <is>
          <t>Hook text (first card)</t>
        </is>
      </c>
      <c r="F1" s="3" t="inlineStr">
        <is>
          <t>Views</t>
        </is>
      </c>
      <c r="G1" s="3" t="inlineStr">
        <is>
          <t>Avg watch time (s)</t>
        </is>
      </c>
      <c r="H1" s="3" t="inlineStr">
        <is>
          <t>Completion %</t>
        </is>
      </c>
      <c r="I1" s="3" t="inlineStr">
        <is>
          <t>Likes</t>
        </is>
      </c>
      <c r="J1" s="3" t="inlineStr">
        <is>
          <t>Comments</t>
        </is>
      </c>
      <c r="K1" s="3" t="inlineStr">
        <is>
          <t>Shares</t>
        </is>
      </c>
      <c r="L1" s="3" t="inlineStr">
        <is>
          <t>Saves</t>
        </is>
      </c>
      <c r="M1" s="3" t="inlineStr">
        <is>
          <t>Profile visits</t>
        </is>
      </c>
      <c r="N1" s="3" t="inlineStr">
        <is>
          <t>Link clicks</t>
        </is>
      </c>
      <c r="O1" s="3" t="inlineStr">
        <is>
          <t>New followers</t>
        </is>
      </c>
      <c r="P1" s="3" t="inlineStr">
        <is>
          <t>Shares/1K</t>
        </is>
      </c>
      <c r="Q1" s="3" t="inlineStr">
        <is>
          <t>Saves/1K</t>
        </is>
      </c>
      <c r="R1" s="3" t="inlineStr">
        <is>
          <t>Profile visits/1K</t>
        </is>
      </c>
      <c r="S1" s="3" t="inlineStr">
        <is>
          <t>Keep / Improve / Stop</t>
        </is>
      </c>
      <c r="T1" s="3" t="inlineStr">
        <is>
          <t>Notes</t>
        </is>
      </c>
    </row>
    <row r="2">
      <c r="P2" s="6">
        <f>IFERROR(K2/F2*1000,"")</f>
        <v/>
      </c>
      <c r="Q2" s="6">
        <f>IFERROR(L2/F2*1000,"")</f>
        <v/>
      </c>
      <c r="R2" s="6">
        <f>IFERROR(M2/F2*1000,"")</f>
        <v/>
      </c>
    </row>
    <row r="3">
      <c r="P3" s="6">
        <f>IFERROR(K3/F3*1000,"")</f>
        <v/>
      </c>
      <c r="Q3" s="6">
        <f>IFERROR(L3/F3*1000,"")</f>
        <v/>
      </c>
      <c r="R3" s="6">
        <f>IFERROR(M3/F3*1000,"")</f>
        <v/>
      </c>
    </row>
    <row r="4">
      <c r="P4" s="6">
        <f>IFERROR(K4/F4*1000,"")</f>
        <v/>
      </c>
      <c r="Q4" s="6">
        <f>IFERROR(L4/F4*1000,"")</f>
        <v/>
      </c>
      <c r="R4" s="6">
        <f>IFERROR(M4/F4*1000,"")</f>
        <v/>
      </c>
    </row>
    <row r="5">
      <c r="P5" s="6">
        <f>IFERROR(K5/F5*1000,"")</f>
        <v/>
      </c>
      <c r="Q5" s="6">
        <f>IFERROR(L5/F5*1000,"")</f>
        <v/>
      </c>
      <c r="R5" s="6">
        <f>IFERROR(M5/F5*1000,"")</f>
        <v/>
      </c>
    </row>
    <row r="6">
      <c r="P6" s="6">
        <f>IFERROR(K6/F6*1000,"")</f>
        <v/>
      </c>
      <c r="Q6" s="6">
        <f>IFERROR(L6/F6*1000,"")</f>
        <v/>
      </c>
      <c r="R6" s="6">
        <f>IFERROR(M6/F6*1000,"")</f>
        <v/>
      </c>
    </row>
    <row r="7">
      <c r="P7" s="6">
        <f>IFERROR(K7/F7*1000,"")</f>
        <v/>
      </c>
      <c r="Q7" s="6">
        <f>IFERROR(L7/F7*1000,"")</f>
        <v/>
      </c>
      <c r="R7" s="6">
        <f>IFERROR(M7/F7*1000,"")</f>
        <v/>
      </c>
    </row>
    <row r="8">
      <c r="P8" s="6">
        <f>IFERROR(K8/F8*1000,"")</f>
        <v/>
      </c>
      <c r="Q8" s="6">
        <f>IFERROR(L8/F8*1000,"")</f>
        <v/>
      </c>
      <c r="R8" s="6">
        <f>IFERROR(M8/F8*1000,"")</f>
        <v/>
      </c>
    </row>
    <row r="9">
      <c r="P9" s="6">
        <f>IFERROR(K9/F9*1000,"")</f>
        <v/>
      </c>
      <c r="Q9" s="6">
        <f>IFERROR(L9/F9*1000,"")</f>
        <v/>
      </c>
      <c r="R9" s="6">
        <f>IFERROR(M9/F9*1000,"")</f>
        <v/>
      </c>
    </row>
    <row r="10">
      <c r="P10" s="6">
        <f>IFERROR(K10/F10*1000,"")</f>
        <v/>
      </c>
      <c r="Q10" s="6">
        <f>IFERROR(L10/F10*1000,"")</f>
        <v/>
      </c>
      <c r="R10" s="6">
        <f>IFERROR(M10/F10*1000,"")</f>
        <v/>
      </c>
    </row>
    <row r="11">
      <c r="P11" s="6">
        <f>IFERROR(K11/F11*1000,"")</f>
        <v/>
      </c>
      <c r="Q11" s="6">
        <f>IFERROR(L11/F11*1000,"")</f>
        <v/>
      </c>
      <c r="R11" s="6">
        <f>IFERROR(M11/F11*1000,"")</f>
        <v/>
      </c>
    </row>
    <row r="12">
      <c r="P12" s="6">
        <f>IFERROR(K12/F12*1000,"")</f>
        <v/>
      </c>
      <c r="Q12" s="6">
        <f>IFERROR(L12/F12*1000,"")</f>
        <v/>
      </c>
      <c r="R12" s="6">
        <f>IFERROR(M12/F12*1000,"")</f>
        <v/>
      </c>
    </row>
    <row r="13">
      <c r="P13" s="6">
        <f>IFERROR(K13/F13*1000,"")</f>
        <v/>
      </c>
      <c r="Q13" s="6">
        <f>IFERROR(L13/F13*1000,"")</f>
        <v/>
      </c>
      <c r="R13" s="6">
        <f>IFERROR(M13/F13*1000,"")</f>
        <v/>
      </c>
    </row>
    <row r="14">
      <c r="P14" s="6">
        <f>IFERROR(K14/F14*1000,"")</f>
        <v/>
      </c>
      <c r="Q14" s="6">
        <f>IFERROR(L14/F14*1000,"")</f>
        <v/>
      </c>
      <c r="R14" s="6">
        <f>IFERROR(M14/F14*1000,"")</f>
        <v/>
      </c>
    </row>
    <row r="15">
      <c r="P15" s="6">
        <f>IFERROR(K15/F15*1000,"")</f>
        <v/>
      </c>
      <c r="Q15" s="6">
        <f>IFERROR(L15/F15*1000,"")</f>
        <v/>
      </c>
      <c r="R15" s="6">
        <f>IFERROR(M15/F15*1000,"")</f>
        <v/>
      </c>
    </row>
    <row r="16">
      <c r="P16" s="6">
        <f>IFERROR(K16/F16*1000,"")</f>
        <v/>
      </c>
      <c r="Q16" s="6">
        <f>IFERROR(L16/F16*1000,"")</f>
        <v/>
      </c>
      <c r="R16" s="6">
        <f>IFERROR(M16/F16*1000,"")</f>
        <v/>
      </c>
    </row>
    <row r="17">
      <c r="P17" s="6">
        <f>IFERROR(K17/F17*1000,"")</f>
        <v/>
      </c>
      <c r="Q17" s="6">
        <f>IFERROR(L17/F17*1000,"")</f>
        <v/>
      </c>
      <c r="R17" s="6">
        <f>IFERROR(M17/F17*1000,"")</f>
        <v/>
      </c>
    </row>
    <row r="18">
      <c r="P18" s="6">
        <f>IFERROR(K18/F18*1000,"")</f>
        <v/>
      </c>
      <c r="Q18" s="6">
        <f>IFERROR(L18/F18*1000,"")</f>
        <v/>
      </c>
      <c r="R18" s="6">
        <f>IFERROR(M18/F18*1000,"")</f>
        <v/>
      </c>
    </row>
    <row r="19">
      <c r="P19" s="6">
        <f>IFERROR(K19/F19*1000,"")</f>
        <v/>
      </c>
      <c r="Q19" s="6">
        <f>IFERROR(L19/F19*1000,"")</f>
        <v/>
      </c>
      <c r="R19" s="6">
        <f>IFERROR(M19/F19*1000,"")</f>
        <v/>
      </c>
    </row>
    <row r="20">
      <c r="P20" s="6">
        <f>IFERROR(K20/F20*1000,"")</f>
        <v/>
      </c>
      <c r="Q20" s="6">
        <f>IFERROR(L20/F20*1000,"")</f>
        <v/>
      </c>
      <c r="R20" s="6">
        <f>IFERROR(M20/F20*1000,"")</f>
        <v/>
      </c>
    </row>
    <row r="21">
      <c r="P21" s="6">
        <f>IFERROR(K21/F21*1000,"")</f>
        <v/>
      </c>
      <c r="Q21" s="6">
        <f>IFERROR(L21/F21*1000,"")</f>
        <v/>
      </c>
      <c r="R21" s="6">
        <f>IFERROR(M21/F21*1000,"")</f>
        <v/>
      </c>
    </row>
    <row r="22">
      <c r="P22" s="6">
        <f>IFERROR(K22/F22*1000,"")</f>
        <v/>
      </c>
      <c r="Q22" s="6">
        <f>IFERROR(L22/F22*1000,"")</f>
        <v/>
      </c>
      <c r="R22" s="6">
        <f>IFERROR(M22/F22*1000,"")</f>
        <v/>
      </c>
    </row>
    <row r="23">
      <c r="P23" s="6">
        <f>IFERROR(K23/F23*1000,"")</f>
        <v/>
      </c>
      <c r="Q23" s="6">
        <f>IFERROR(L23/F23*1000,"")</f>
        <v/>
      </c>
      <c r="R23" s="6">
        <f>IFERROR(M23/F23*1000,"")</f>
        <v/>
      </c>
    </row>
    <row r="24">
      <c r="P24" s="6">
        <f>IFERROR(K24/F24*1000,"")</f>
        <v/>
      </c>
      <c r="Q24" s="6">
        <f>IFERROR(L24/F24*1000,"")</f>
        <v/>
      </c>
      <c r="R24" s="6">
        <f>IFERROR(M24/F24*1000,"")</f>
        <v/>
      </c>
    </row>
    <row r="25">
      <c r="P25" s="6">
        <f>IFERROR(K25/F25*1000,"")</f>
        <v/>
      </c>
      <c r="Q25" s="6">
        <f>IFERROR(L25/F25*1000,"")</f>
        <v/>
      </c>
      <c r="R25" s="6">
        <f>IFERROR(M25/F25*1000,"")</f>
        <v/>
      </c>
    </row>
    <row r="26">
      <c r="P26" s="6">
        <f>IFERROR(K26/F26*1000,"")</f>
        <v/>
      </c>
      <c r="Q26" s="6">
        <f>IFERROR(L26/F26*1000,"")</f>
        <v/>
      </c>
      <c r="R26" s="6">
        <f>IFERROR(M26/F26*1000,"")</f>
        <v/>
      </c>
    </row>
    <row r="27">
      <c r="P27" s="6">
        <f>IFERROR(K27/F27*1000,"")</f>
        <v/>
      </c>
      <c r="Q27" s="6">
        <f>IFERROR(L27/F27*1000,"")</f>
        <v/>
      </c>
      <c r="R27" s="6">
        <f>IFERROR(M27/F27*1000,"")</f>
        <v/>
      </c>
    </row>
    <row r="28">
      <c r="P28" s="6">
        <f>IFERROR(K28/F28*1000,"")</f>
        <v/>
      </c>
      <c r="Q28" s="6">
        <f>IFERROR(L28/F28*1000,"")</f>
        <v/>
      </c>
      <c r="R28" s="6">
        <f>IFERROR(M28/F28*1000,"")</f>
        <v/>
      </c>
    </row>
    <row r="29">
      <c r="P29" s="6">
        <f>IFERROR(K29/F29*1000,"")</f>
        <v/>
      </c>
      <c r="Q29" s="6">
        <f>IFERROR(L29/F29*1000,"")</f>
        <v/>
      </c>
      <c r="R29" s="6">
        <f>IFERROR(M29/F29*1000,"")</f>
        <v/>
      </c>
    </row>
    <row r="30">
      <c r="P30" s="6">
        <f>IFERROR(K30/F30*1000,"")</f>
        <v/>
      </c>
      <c r="Q30" s="6">
        <f>IFERROR(L30/F30*1000,"")</f>
        <v/>
      </c>
      <c r="R30" s="6">
        <f>IFERROR(M30/F30*1000,"")</f>
        <v/>
      </c>
    </row>
    <row r="31">
      <c r="P31" s="6">
        <f>IFERROR(K31/F31*1000,"")</f>
        <v/>
      </c>
      <c r="Q31" s="6">
        <f>IFERROR(L31/F31*1000,"")</f>
        <v/>
      </c>
      <c r="R31" s="6">
        <f>IFERROR(M31/F31*1000,"")</f>
        <v/>
      </c>
    </row>
    <row r="32">
      <c r="P32" s="6">
        <f>IFERROR(K32/F32*1000,"")</f>
        <v/>
      </c>
      <c r="Q32" s="6">
        <f>IFERROR(L32/F32*1000,"")</f>
        <v/>
      </c>
      <c r="R32" s="6">
        <f>IFERROR(M32/F32*1000,"")</f>
        <v/>
      </c>
    </row>
    <row r="33">
      <c r="P33" s="6">
        <f>IFERROR(K33/F33*1000,"")</f>
        <v/>
      </c>
      <c r="Q33" s="6">
        <f>IFERROR(L33/F33*1000,"")</f>
        <v/>
      </c>
      <c r="R33" s="6">
        <f>IFERROR(M33/F33*1000,"")</f>
        <v/>
      </c>
    </row>
    <row r="34">
      <c r="P34" s="6">
        <f>IFERROR(K34/F34*1000,"")</f>
        <v/>
      </c>
      <c r="Q34" s="6">
        <f>IFERROR(L34/F34*1000,"")</f>
        <v/>
      </c>
      <c r="R34" s="6">
        <f>IFERROR(M34/F34*1000,"")</f>
        <v/>
      </c>
    </row>
    <row r="35">
      <c r="P35" s="6">
        <f>IFERROR(K35/F35*1000,"")</f>
        <v/>
      </c>
      <c r="Q35" s="6">
        <f>IFERROR(L35/F35*1000,"")</f>
        <v/>
      </c>
      <c r="R35" s="6">
        <f>IFERROR(M35/F35*1000,"")</f>
        <v/>
      </c>
    </row>
    <row r="36">
      <c r="P36" s="6">
        <f>IFERROR(K36/F36*1000,"")</f>
        <v/>
      </c>
      <c r="Q36" s="6">
        <f>IFERROR(L36/F36*1000,"")</f>
        <v/>
      </c>
      <c r="R36" s="6">
        <f>IFERROR(M36/F36*1000,"")</f>
        <v/>
      </c>
    </row>
    <row r="37">
      <c r="P37" s="6">
        <f>IFERROR(K37/F37*1000,"")</f>
        <v/>
      </c>
      <c r="Q37" s="6">
        <f>IFERROR(L37/F37*1000,"")</f>
        <v/>
      </c>
      <c r="R37" s="6">
        <f>IFERROR(M37/F37*1000,"")</f>
        <v/>
      </c>
    </row>
    <row r="38">
      <c r="P38" s="6">
        <f>IFERROR(K38/F38*1000,"")</f>
        <v/>
      </c>
      <c r="Q38" s="6">
        <f>IFERROR(L38/F38*1000,"")</f>
        <v/>
      </c>
      <c r="R38" s="6">
        <f>IFERROR(M38/F38*1000,"")</f>
        <v/>
      </c>
    </row>
    <row r="39">
      <c r="P39" s="6">
        <f>IFERROR(K39/F39*1000,"")</f>
        <v/>
      </c>
      <c r="Q39" s="6">
        <f>IFERROR(L39/F39*1000,"")</f>
        <v/>
      </c>
      <c r="R39" s="6">
        <f>IFERROR(M39/F39*1000,"")</f>
        <v/>
      </c>
    </row>
    <row r="40">
      <c r="P40" s="6">
        <f>IFERROR(K40/F40*1000,"")</f>
        <v/>
      </c>
      <c r="Q40" s="6">
        <f>IFERROR(L40/F40*1000,"")</f>
        <v/>
      </c>
      <c r="R40" s="6">
        <f>IFERROR(M40/F40*1000,"")</f>
        <v/>
      </c>
    </row>
    <row r="41">
      <c r="P41" s="6">
        <f>IFERROR(K41/F41*1000,"")</f>
        <v/>
      </c>
      <c r="Q41" s="6">
        <f>IFERROR(L41/F41*1000,"")</f>
        <v/>
      </c>
      <c r="R41" s="6">
        <f>IFERROR(M41/F41*1000,"")</f>
        <v/>
      </c>
    </row>
    <row r="42">
      <c r="P42" s="6">
        <f>IFERROR(K42/F42*1000,"")</f>
        <v/>
      </c>
      <c r="Q42" s="6">
        <f>IFERROR(L42/F42*1000,"")</f>
        <v/>
      </c>
      <c r="R42" s="6">
        <f>IFERROR(M42/F42*1000,"")</f>
        <v/>
      </c>
    </row>
    <row r="43">
      <c r="P43" s="6">
        <f>IFERROR(K43/F43*1000,"")</f>
        <v/>
      </c>
      <c r="Q43" s="6">
        <f>IFERROR(L43/F43*1000,"")</f>
        <v/>
      </c>
      <c r="R43" s="6">
        <f>IFERROR(M43/F43*1000,"")</f>
        <v/>
      </c>
    </row>
    <row r="44">
      <c r="P44" s="6">
        <f>IFERROR(K44/F44*1000,"")</f>
        <v/>
      </c>
      <c r="Q44" s="6">
        <f>IFERROR(L44/F44*1000,"")</f>
        <v/>
      </c>
      <c r="R44" s="6">
        <f>IFERROR(M44/F44*1000,"")</f>
        <v/>
      </c>
    </row>
    <row r="45">
      <c r="P45" s="6">
        <f>IFERROR(K45/F45*1000,"")</f>
        <v/>
      </c>
      <c r="Q45" s="6">
        <f>IFERROR(L45/F45*1000,"")</f>
        <v/>
      </c>
      <c r="R45" s="6">
        <f>IFERROR(M45/F45*1000,"")</f>
        <v/>
      </c>
    </row>
    <row r="46">
      <c r="P46" s="6">
        <f>IFERROR(K46/F46*1000,"")</f>
        <v/>
      </c>
      <c r="Q46" s="6">
        <f>IFERROR(L46/F46*1000,"")</f>
        <v/>
      </c>
      <c r="R46" s="6">
        <f>IFERROR(M46/F46*1000,"")</f>
        <v/>
      </c>
    </row>
    <row r="47">
      <c r="P47" s="6">
        <f>IFERROR(K47/F47*1000,"")</f>
        <v/>
      </c>
      <c r="Q47" s="6">
        <f>IFERROR(L47/F47*1000,"")</f>
        <v/>
      </c>
      <c r="R47" s="6">
        <f>IFERROR(M47/F47*1000,"")</f>
        <v/>
      </c>
    </row>
    <row r="48">
      <c r="P48" s="6">
        <f>IFERROR(K48/F48*1000,"")</f>
        <v/>
      </c>
      <c r="Q48" s="6">
        <f>IFERROR(L48/F48*1000,"")</f>
        <v/>
      </c>
      <c r="R48" s="6">
        <f>IFERROR(M48/F48*1000,"")</f>
        <v/>
      </c>
    </row>
    <row r="49">
      <c r="P49" s="6">
        <f>IFERROR(K49/F49*1000,"")</f>
        <v/>
      </c>
      <c r="Q49" s="6">
        <f>IFERROR(L49/F49*1000,"")</f>
        <v/>
      </c>
      <c r="R49" s="6">
        <f>IFERROR(M49/F49*1000,"")</f>
        <v/>
      </c>
    </row>
    <row r="50">
      <c r="P50" s="6">
        <f>IFERROR(K50/F50*1000,"")</f>
        <v/>
      </c>
      <c r="Q50" s="6">
        <f>IFERROR(L50/F50*1000,"")</f>
        <v/>
      </c>
      <c r="R50" s="6">
        <f>IFERROR(M50/F50*1000,"")</f>
        <v/>
      </c>
    </row>
    <row r="51">
      <c r="P51" s="6">
        <f>IFERROR(K51/F51*1000,"")</f>
        <v/>
      </c>
      <c r="Q51" s="6">
        <f>IFERROR(L51/F51*1000,"")</f>
        <v/>
      </c>
      <c r="R51" s="6">
        <f>IFERROR(M51/F51*1000,"")</f>
        <v/>
      </c>
    </row>
    <row r="52">
      <c r="P52" s="6">
        <f>IFERROR(K52/F52*1000,"")</f>
        <v/>
      </c>
      <c r="Q52" s="6">
        <f>IFERROR(L52/F52*1000,"")</f>
        <v/>
      </c>
      <c r="R52" s="6">
        <f>IFERROR(M52/F52*1000,"")</f>
        <v/>
      </c>
    </row>
    <row r="53">
      <c r="P53" s="6">
        <f>IFERROR(K53/F53*1000,"")</f>
        <v/>
      </c>
      <c r="Q53" s="6">
        <f>IFERROR(L53/F53*1000,"")</f>
        <v/>
      </c>
      <c r="R53" s="6">
        <f>IFERROR(M53/F53*1000,"")</f>
        <v/>
      </c>
    </row>
    <row r="54">
      <c r="P54" s="6">
        <f>IFERROR(K54/F54*1000,"")</f>
        <v/>
      </c>
      <c r="Q54" s="6">
        <f>IFERROR(L54/F54*1000,"")</f>
        <v/>
      </c>
      <c r="R54" s="6">
        <f>IFERROR(M54/F54*1000,"")</f>
        <v/>
      </c>
    </row>
    <row r="55">
      <c r="P55" s="6">
        <f>IFERROR(K55/F55*1000,"")</f>
        <v/>
      </c>
      <c r="Q55" s="6">
        <f>IFERROR(L55/F55*1000,"")</f>
        <v/>
      </c>
      <c r="R55" s="6">
        <f>IFERROR(M55/F55*1000,"")</f>
        <v/>
      </c>
    </row>
    <row r="56">
      <c r="P56" s="6">
        <f>IFERROR(K56/F56*1000,"")</f>
        <v/>
      </c>
      <c r="Q56" s="6">
        <f>IFERROR(L56/F56*1000,"")</f>
        <v/>
      </c>
      <c r="R56" s="6">
        <f>IFERROR(M56/F56*1000,"")</f>
        <v/>
      </c>
    </row>
    <row r="57">
      <c r="P57" s="6">
        <f>IFERROR(K57/F57*1000,"")</f>
        <v/>
      </c>
      <c r="Q57" s="6">
        <f>IFERROR(L57/F57*1000,"")</f>
        <v/>
      </c>
      <c r="R57" s="6">
        <f>IFERROR(M57/F57*1000,"")</f>
        <v/>
      </c>
    </row>
    <row r="58">
      <c r="P58" s="6">
        <f>IFERROR(K58/F58*1000,"")</f>
        <v/>
      </c>
      <c r="Q58" s="6">
        <f>IFERROR(L58/F58*1000,"")</f>
        <v/>
      </c>
      <c r="R58" s="6">
        <f>IFERROR(M58/F58*1000,"")</f>
        <v/>
      </c>
    </row>
    <row r="59">
      <c r="P59" s="6">
        <f>IFERROR(K59/F59*1000,"")</f>
        <v/>
      </c>
      <c r="Q59" s="6">
        <f>IFERROR(L59/F59*1000,"")</f>
        <v/>
      </c>
      <c r="R59" s="6">
        <f>IFERROR(M59/F59*1000,"")</f>
        <v/>
      </c>
    </row>
    <row r="60">
      <c r="P60" s="6">
        <f>IFERROR(K60/F60*1000,"")</f>
        <v/>
      </c>
      <c r="Q60" s="6">
        <f>IFERROR(L60/F60*1000,"")</f>
        <v/>
      </c>
      <c r="R60" s="6">
        <f>IFERROR(M60/F60*1000,"")</f>
        <v/>
      </c>
    </row>
    <row r="61">
      <c r="P61" s="6">
        <f>IFERROR(K61/F61*1000,"")</f>
        <v/>
      </c>
      <c r="Q61" s="6">
        <f>IFERROR(L61/F61*1000,"")</f>
        <v/>
      </c>
      <c r="R61" s="6">
        <f>IFERROR(M61/F61*1000,"")</f>
        <v/>
      </c>
    </row>
    <row r="62">
      <c r="P62" s="6">
        <f>IFERROR(K62/F62*1000,"")</f>
        <v/>
      </c>
      <c r="Q62" s="6">
        <f>IFERROR(L62/F62*1000,"")</f>
        <v/>
      </c>
      <c r="R62" s="6">
        <f>IFERROR(M62/F62*1000,"")</f>
        <v/>
      </c>
    </row>
    <row r="63">
      <c r="P63" s="6">
        <f>IFERROR(K63/F63*1000,"")</f>
        <v/>
      </c>
      <c r="Q63" s="6">
        <f>IFERROR(L63/F63*1000,"")</f>
        <v/>
      </c>
      <c r="R63" s="6">
        <f>IFERROR(M63/F63*1000,"")</f>
        <v/>
      </c>
    </row>
    <row r="64">
      <c r="P64" s="6">
        <f>IFERROR(K64/F64*1000,"")</f>
        <v/>
      </c>
      <c r="Q64" s="6">
        <f>IFERROR(L64/F64*1000,"")</f>
        <v/>
      </c>
      <c r="R64" s="6">
        <f>IFERROR(M64/F64*1000,"")</f>
        <v/>
      </c>
    </row>
    <row r="65">
      <c r="P65" s="6">
        <f>IFERROR(K65/F65*1000,"")</f>
        <v/>
      </c>
      <c r="Q65" s="6">
        <f>IFERROR(L65/F65*1000,"")</f>
        <v/>
      </c>
      <c r="R65" s="6">
        <f>IFERROR(M65/F65*1000,"")</f>
        <v/>
      </c>
    </row>
    <row r="66">
      <c r="P66" s="6">
        <f>IFERROR(K66/F66*1000,"")</f>
        <v/>
      </c>
      <c r="Q66" s="6">
        <f>IFERROR(L66/F66*1000,"")</f>
        <v/>
      </c>
      <c r="R66" s="6">
        <f>IFERROR(M66/F66*1000,"")</f>
        <v/>
      </c>
    </row>
    <row r="67">
      <c r="P67" s="6">
        <f>IFERROR(K67/F67*1000,"")</f>
        <v/>
      </c>
      <c r="Q67" s="6">
        <f>IFERROR(L67/F67*1000,"")</f>
        <v/>
      </c>
      <c r="R67" s="6">
        <f>IFERROR(M67/F67*1000,"")</f>
        <v/>
      </c>
    </row>
    <row r="68">
      <c r="P68" s="6">
        <f>IFERROR(K68/F68*1000,"")</f>
        <v/>
      </c>
      <c r="Q68" s="6">
        <f>IFERROR(L68/F68*1000,"")</f>
        <v/>
      </c>
      <c r="R68" s="6">
        <f>IFERROR(M68/F68*1000,"")</f>
        <v/>
      </c>
    </row>
    <row r="69">
      <c r="P69" s="6">
        <f>IFERROR(K69/F69*1000,"")</f>
        <v/>
      </c>
      <c r="Q69" s="6">
        <f>IFERROR(L69/F69*1000,"")</f>
        <v/>
      </c>
      <c r="R69" s="6">
        <f>IFERROR(M69/F69*1000,"")</f>
        <v/>
      </c>
    </row>
    <row r="70">
      <c r="P70" s="6">
        <f>IFERROR(K70/F70*1000,"")</f>
        <v/>
      </c>
      <c r="Q70" s="6">
        <f>IFERROR(L70/F70*1000,"")</f>
        <v/>
      </c>
      <c r="R70" s="6">
        <f>IFERROR(M70/F70*1000,"")</f>
        <v/>
      </c>
    </row>
    <row r="71">
      <c r="P71" s="6">
        <f>IFERROR(K71/F71*1000,"")</f>
        <v/>
      </c>
      <c r="Q71" s="6">
        <f>IFERROR(L71/F71*1000,"")</f>
        <v/>
      </c>
      <c r="R71" s="6">
        <f>IFERROR(M71/F71*1000,"")</f>
        <v/>
      </c>
    </row>
    <row r="72">
      <c r="P72" s="6">
        <f>IFERROR(K72/F72*1000,"")</f>
        <v/>
      </c>
      <c r="Q72" s="6">
        <f>IFERROR(L72/F72*1000,"")</f>
        <v/>
      </c>
      <c r="R72" s="6">
        <f>IFERROR(M72/F72*1000,"")</f>
        <v/>
      </c>
    </row>
    <row r="73">
      <c r="P73" s="6">
        <f>IFERROR(K73/F73*1000,"")</f>
        <v/>
      </c>
      <c r="Q73" s="6">
        <f>IFERROR(L73/F73*1000,"")</f>
        <v/>
      </c>
      <c r="R73" s="6">
        <f>IFERROR(M73/F73*1000,"")</f>
        <v/>
      </c>
    </row>
    <row r="74">
      <c r="P74" s="6">
        <f>IFERROR(K74/F74*1000,"")</f>
        <v/>
      </c>
      <c r="Q74" s="6">
        <f>IFERROR(L74/F74*1000,"")</f>
        <v/>
      </c>
      <c r="R74" s="6">
        <f>IFERROR(M74/F74*1000,"")</f>
        <v/>
      </c>
    </row>
    <row r="75">
      <c r="P75" s="6">
        <f>IFERROR(K75/F75*1000,"")</f>
        <v/>
      </c>
      <c r="Q75" s="6">
        <f>IFERROR(L75/F75*1000,"")</f>
        <v/>
      </c>
      <c r="R75" s="6">
        <f>IFERROR(M75/F75*1000,"")</f>
        <v/>
      </c>
    </row>
    <row r="76">
      <c r="P76" s="6">
        <f>IFERROR(K76/F76*1000,"")</f>
        <v/>
      </c>
      <c r="Q76" s="6">
        <f>IFERROR(L76/F76*1000,"")</f>
        <v/>
      </c>
      <c r="R76" s="6">
        <f>IFERROR(M76/F76*1000,"")</f>
        <v/>
      </c>
    </row>
    <row r="77">
      <c r="P77" s="6">
        <f>IFERROR(K77/F77*1000,"")</f>
        <v/>
      </c>
      <c r="Q77" s="6">
        <f>IFERROR(L77/F77*1000,"")</f>
        <v/>
      </c>
      <c r="R77" s="6">
        <f>IFERROR(M77/F77*1000,"")</f>
        <v/>
      </c>
    </row>
    <row r="78">
      <c r="P78" s="6">
        <f>IFERROR(K78/F78*1000,"")</f>
        <v/>
      </c>
      <c r="Q78" s="6">
        <f>IFERROR(L78/F78*1000,"")</f>
        <v/>
      </c>
      <c r="R78" s="6">
        <f>IFERROR(M78/F78*1000,"")</f>
        <v/>
      </c>
    </row>
    <row r="79">
      <c r="P79" s="6">
        <f>IFERROR(K79/F79*1000,"")</f>
        <v/>
      </c>
      <c r="Q79" s="6">
        <f>IFERROR(L79/F79*1000,"")</f>
        <v/>
      </c>
      <c r="R79" s="6">
        <f>IFERROR(M79/F79*1000,"")</f>
        <v/>
      </c>
    </row>
    <row r="80">
      <c r="P80" s="6">
        <f>IFERROR(K80/F80*1000,"")</f>
        <v/>
      </c>
      <c r="Q80" s="6">
        <f>IFERROR(L80/F80*1000,"")</f>
        <v/>
      </c>
      <c r="R80" s="6">
        <f>IFERROR(M80/F80*1000,"")</f>
        <v/>
      </c>
    </row>
    <row r="81">
      <c r="P81" s="6">
        <f>IFERROR(K81/F81*1000,"")</f>
        <v/>
      </c>
      <c r="Q81" s="6">
        <f>IFERROR(L81/F81*1000,"")</f>
        <v/>
      </c>
      <c r="R81" s="6">
        <f>IFERROR(M81/F81*1000,"")</f>
        <v/>
      </c>
    </row>
    <row r="82">
      <c r="P82" s="6">
        <f>IFERROR(K82/F82*1000,"")</f>
        <v/>
      </c>
      <c r="Q82" s="6">
        <f>IFERROR(L82/F82*1000,"")</f>
        <v/>
      </c>
      <c r="R82" s="6">
        <f>IFERROR(M82/F82*1000,"")</f>
        <v/>
      </c>
    </row>
    <row r="83">
      <c r="P83" s="6">
        <f>IFERROR(K83/F83*1000,"")</f>
        <v/>
      </c>
      <c r="Q83" s="6">
        <f>IFERROR(L83/F83*1000,"")</f>
        <v/>
      </c>
      <c r="R83" s="6">
        <f>IFERROR(M83/F83*1000,"")</f>
        <v/>
      </c>
    </row>
    <row r="84">
      <c r="P84" s="6">
        <f>IFERROR(K84/F84*1000,"")</f>
        <v/>
      </c>
      <c r="Q84" s="6">
        <f>IFERROR(L84/F84*1000,"")</f>
        <v/>
      </c>
      <c r="R84" s="6">
        <f>IFERROR(M84/F84*1000,"")</f>
        <v/>
      </c>
    </row>
    <row r="85">
      <c r="P85" s="6">
        <f>IFERROR(K85/F85*1000,"")</f>
        <v/>
      </c>
      <c r="Q85" s="6">
        <f>IFERROR(L85/F85*1000,"")</f>
        <v/>
      </c>
      <c r="R85" s="6">
        <f>IFERROR(M85/F85*1000,"")</f>
        <v/>
      </c>
    </row>
    <row r="86">
      <c r="P86" s="6">
        <f>IFERROR(K86/F86*1000,"")</f>
        <v/>
      </c>
      <c r="Q86" s="6">
        <f>IFERROR(L86/F86*1000,"")</f>
        <v/>
      </c>
      <c r="R86" s="6">
        <f>IFERROR(M86/F86*1000,"")</f>
        <v/>
      </c>
    </row>
    <row r="87">
      <c r="P87" s="6">
        <f>IFERROR(K87/F87*1000,"")</f>
        <v/>
      </c>
      <c r="Q87" s="6">
        <f>IFERROR(L87/F87*1000,"")</f>
        <v/>
      </c>
      <c r="R87" s="6">
        <f>IFERROR(M87/F87*1000,"")</f>
        <v/>
      </c>
    </row>
    <row r="88">
      <c r="P88" s="6">
        <f>IFERROR(K88/F88*1000,"")</f>
        <v/>
      </c>
      <c r="Q88" s="6">
        <f>IFERROR(L88/F88*1000,"")</f>
        <v/>
      </c>
      <c r="R88" s="6">
        <f>IFERROR(M88/F88*1000,"")</f>
        <v/>
      </c>
    </row>
    <row r="89">
      <c r="P89" s="6">
        <f>IFERROR(K89/F89*1000,"")</f>
        <v/>
      </c>
      <c r="Q89" s="6">
        <f>IFERROR(L89/F89*1000,"")</f>
        <v/>
      </c>
      <c r="R89" s="6">
        <f>IFERROR(M89/F89*1000,"")</f>
        <v/>
      </c>
    </row>
    <row r="90">
      <c r="P90" s="6">
        <f>IFERROR(K90/F90*1000,"")</f>
        <v/>
      </c>
      <c r="Q90" s="6">
        <f>IFERROR(L90/F90*1000,"")</f>
        <v/>
      </c>
      <c r="R90" s="6">
        <f>IFERROR(M90/F90*1000,"")</f>
        <v/>
      </c>
    </row>
    <row r="91">
      <c r="P91" s="6">
        <f>IFERROR(K91/F91*1000,"")</f>
        <v/>
      </c>
      <c r="Q91" s="6">
        <f>IFERROR(L91/F91*1000,"")</f>
        <v/>
      </c>
      <c r="R91" s="6">
        <f>IFERROR(M91/F91*1000,"")</f>
        <v/>
      </c>
    </row>
    <row r="92">
      <c r="P92" s="6">
        <f>IFERROR(K92/F92*1000,"")</f>
        <v/>
      </c>
      <c r="Q92" s="6">
        <f>IFERROR(L92/F92*1000,"")</f>
        <v/>
      </c>
      <c r="R92" s="6">
        <f>IFERROR(M92/F92*1000,"")</f>
        <v/>
      </c>
    </row>
    <row r="93">
      <c r="P93" s="6">
        <f>IFERROR(K93/F93*1000,"")</f>
        <v/>
      </c>
      <c r="Q93" s="6">
        <f>IFERROR(L93/F93*1000,"")</f>
        <v/>
      </c>
      <c r="R93" s="6">
        <f>IFERROR(M93/F93*1000,"")</f>
        <v/>
      </c>
    </row>
    <row r="94">
      <c r="P94" s="6">
        <f>IFERROR(K94/F94*1000,"")</f>
        <v/>
      </c>
      <c r="Q94" s="6">
        <f>IFERROR(L94/F94*1000,"")</f>
        <v/>
      </c>
      <c r="R94" s="6">
        <f>IFERROR(M94/F94*1000,"")</f>
        <v/>
      </c>
    </row>
    <row r="95">
      <c r="P95" s="6">
        <f>IFERROR(K95/F95*1000,"")</f>
        <v/>
      </c>
      <c r="Q95" s="6">
        <f>IFERROR(L95/F95*1000,"")</f>
        <v/>
      </c>
      <c r="R95" s="6">
        <f>IFERROR(M95/F95*1000,"")</f>
        <v/>
      </c>
    </row>
    <row r="96">
      <c r="P96" s="6">
        <f>IFERROR(K96/F96*1000,"")</f>
        <v/>
      </c>
      <c r="Q96" s="6">
        <f>IFERROR(L96/F96*1000,"")</f>
        <v/>
      </c>
      <c r="R96" s="6">
        <f>IFERROR(M96/F96*1000,"")</f>
        <v/>
      </c>
    </row>
    <row r="97">
      <c r="P97" s="6">
        <f>IFERROR(K97/F97*1000,"")</f>
        <v/>
      </c>
      <c r="Q97" s="6">
        <f>IFERROR(L97/F97*1000,"")</f>
        <v/>
      </c>
      <c r="R97" s="6">
        <f>IFERROR(M97/F97*1000,"")</f>
        <v/>
      </c>
    </row>
    <row r="98">
      <c r="P98" s="6">
        <f>IFERROR(K98/F98*1000,"")</f>
        <v/>
      </c>
      <c r="Q98" s="6">
        <f>IFERROR(L98/F98*1000,"")</f>
        <v/>
      </c>
      <c r="R98" s="6">
        <f>IFERROR(M98/F98*1000,"")</f>
        <v/>
      </c>
    </row>
    <row r="99">
      <c r="P99" s="6">
        <f>IFERROR(K99/F99*1000,"")</f>
        <v/>
      </c>
      <c r="Q99" s="6">
        <f>IFERROR(L99/F99*1000,"")</f>
        <v/>
      </c>
      <c r="R99" s="6">
        <f>IFERROR(M99/F99*1000,"")</f>
        <v/>
      </c>
    </row>
    <row r="100">
      <c r="P100" s="6">
        <f>IFERROR(K100/F100*1000,"")</f>
        <v/>
      </c>
      <c r="Q100" s="6">
        <f>IFERROR(L100/F100*1000,"")</f>
        <v/>
      </c>
      <c r="R100" s="6">
        <f>IFERROR(M100/F100*1000,"")</f>
        <v/>
      </c>
    </row>
    <row r="101">
      <c r="P101" s="6">
        <f>IFERROR(K101/F101*1000,"")</f>
        <v/>
      </c>
      <c r="Q101" s="6">
        <f>IFERROR(L101/F101*1000,"")</f>
        <v/>
      </c>
      <c r="R101" s="6">
        <f>IFERROR(M101/F101*1000,"")</f>
        <v/>
      </c>
    </row>
    <row r="102">
      <c r="P102" s="6">
        <f>IFERROR(K102/F102*1000,"")</f>
        <v/>
      </c>
      <c r="Q102" s="6">
        <f>IFERROR(L102/F102*1000,"")</f>
        <v/>
      </c>
      <c r="R102" s="6">
        <f>IFERROR(M102/F102*1000,"")</f>
        <v/>
      </c>
    </row>
    <row r="103">
      <c r="P103" s="6">
        <f>IFERROR(K103/F103*1000,"")</f>
        <v/>
      </c>
      <c r="Q103" s="6">
        <f>IFERROR(L103/F103*1000,"")</f>
        <v/>
      </c>
      <c r="R103" s="6">
        <f>IFERROR(M103/F103*1000,"")</f>
        <v/>
      </c>
    </row>
    <row r="104">
      <c r="P104" s="6">
        <f>IFERROR(K104/F104*1000,"")</f>
        <v/>
      </c>
      <c r="Q104" s="6">
        <f>IFERROR(L104/F104*1000,"")</f>
        <v/>
      </c>
      <c r="R104" s="6">
        <f>IFERROR(M104/F104*1000,"")</f>
        <v/>
      </c>
    </row>
    <row r="105">
      <c r="P105" s="6">
        <f>IFERROR(K105/F105*1000,"")</f>
        <v/>
      </c>
      <c r="Q105" s="6">
        <f>IFERROR(L105/F105*1000,"")</f>
        <v/>
      </c>
      <c r="R105" s="6">
        <f>IFERROR(M105/F105*1000,"")</f>
        <v/>
      </c>
    </row>
    <row r="106">
      <c r="P106" s="6">
        <f>IFERROR(K106/F106*1000,"")</f>
        <v/>
      </c>
      <c r="Q106" s="6">
        <f>IFERROR(L106/F106*1000,"")</f>
        <v/>
      </c>
      <c r="R106" s="6">
        <f>IFERROR(M106/F106*1000,"")</f>
        <v/>
      </c>
    </row>
    <row r="107">
      <c r="P107" s="6">
        <f>IFERROR(K107/F107*1000,"")</f>
        <v/>
      </c>
      <c r="Q107" s="6">
        <f>IFERROR(L107/F107*1000,"")</f>
        <v/>
      </c>
      <c r="R107" s="6">
        <f>IFERROR(M107/F107*1000,"")</f>
        <v/>
      </c>
    </row>
    <row r="108">
      <c r="P108" s="6">
        <f>IFERROR(K108/F108*1000,"")</f>
        <v/>
      </c>
      <c r="Q108" s="6">
        <f>IFERROR(L108/F108*1000,"")</f>
        <v/>
      </c>
      <c r="R108" s="6">
        <f>IFERROR(M108/F108*1000,"")</f>
        <v/>
      </c>
    </row>
    <row r="109">
      <c r="P109" s="6">
        <f>IFERROR(K109/F109*1000,"")</f>
        <v/>
      </c>
      <c r="Q109" s="6">
        <f>IFERROR(L109/F109*1000,"")</f>
        <v/>
      </c>
      <c r="R109" s="6">
        <f>IFERROR(M109/F109*1000,"")</f>
        <v/>
      </c>
    </row>
    <row r="110">
      <c r="P110" s="6">
        <f>IFERROR(K110/F110*1000,"")</f>
        <v/>
      </c>
      <c r="Q110" s="6">
        <f>IFERROR(L110/F110*1000,"")</f>
        <v/>
      </c>
      <c r="R110" s="6">
        <f>IFERROR(M110/F110*1000,"")</f>
        <v/>
      </c>
    </row>
    <row r="111">
      <c r="P111" s="6">
        <f>IFERROR(K111/F111*1000,"")</f>
        <v/>
      </c>
      <c r="Q111" s="6">
        <f>IFERROR(L111/F111*1000,"")</f>
        <v/>
      </c>
      <c r="R111" s="6">
        <f>IFERROR(M111/F111*1000,"")</f>
        <v/>
      </c>
    </row>
    <row r="112">
      <c r="P112" s="6">
        <f>IFERROR(K112/F112*1000,"")</f>
        <v/>
      </c>
      <c r="Q112" s="6">
        <f>IFERROR(L112/F112*1000,"")</f>
        <v/>
      </c>
      <c r="R112" s="6">
        <f>IFERROR(M112/F112*1000,"")</f>
        <v/>
      </c>
    </row>
    <row r="113">
      <c r="P113" s="6">
        <f>IFERROR(K113/F113*1000,"")</f>
        <v/>
      </c>
      <c r="Q113" s="6">
        <f>IFERROR(L113/F113*1000,"")</f>
        <v/>
      </c>
      <c r="R113" s="6">
        <f>IFERROR(M113/F113*1000,"")</f>
        <v/>
      </c>
    </row>
    <row r="114">
      <c r="P114" s="6">
        <f>IFERROR(K114/F114*1000,"")</f>
        <v/>
      </c>
      <c r="Q114" s="6">
        <f>IFERROR(L114/F114*1000,"")</f>
        <v/>
      </c>
      <c r="R114" s="6">
        <f>IFERROR(M114/F114*1000,"")</f>
        <v/>
      </c>
    </row>
    <row r="115">
      <c r="P115" s="6">
        <f>IFERROR(K115/F115*1000,"")</f>
        <v/>
      </c>
      <c r="Q115" s="6">
        <f>IFERROR(L115/F115*1000,"")</f>
        <v/>
      </c>
      <c r="R115" s="6">
        <f>IFERROR(M115/F115*1000,"")</f>
        <v/>
      </c>
    </row>
    <row r="116">
      <c r="P116" s="6">
        <f>IFERROR(K116/F116*1000,"")</f>
        <v/>
      </c>
      <c r="Q116" s="6">
        <f>IFERROR(L116/F116*1000,"")</f>
        <v/>
      </c>
      <c r="R116" s="6">
        <f>IFERROR(M116/F116*1000,"")</f>
        <v/>
      </c>
    </row>
    <row r="117">
      <c r="P117" s="6">
        <f>IFERROR(K117/F117*1000,"")</f>
        <v/>
      </c>
      <c r="Q117" s="6">
        <f>IFERROR(L117/F117*1000,"")</f>
        <v/>
      </c>
      <c r="R117" s="6">
        <f>IFERROR(M117/F117*1000,"")</f>
        <v/>
      </c>
    </row>
    <row r="118">
      <c r="P118" s="6">
        <f>IFERROR(K118/F118*1000,"")</f>
        <v/>
      </c>
      <c r="Q118" s="6">
        <f>IFERROR(L118/F118*1000,"")</f>
        <v/>
      </c>
      <c r="R118" s="6">
        <f>IFERROR(M118/F118*1000,"")</f>
        <v/>
      </c>
    </row>
    <row r="119">
      <c r="P119" s="6">
        <f>IFERROR(K119/F119*1000,"")</f>
        <v/>
      </c>
      <c r="Q119" s="6">
        <f>IFERROR(L119/F119*1000,"")</f>
        <v/>
      </c>
      <c r="R119" s="6">
        <f>IFERROR(M119/F119*1000,"")</f>
        <v/>
      </c>
    </row>
    <row r="120">
      <c r="P120" s="6">
        <f>IFERROR(K120/F120*1000,"")</f>
        <v/>
      </c>
      <c r="Q120" s="6">
        <f>IFERROR(L120/F120*1000,"")</f>
        <v/>
      </c>
      <c r="R120" s="6">
        <f>IFERROR(M120/F120*1000,"")</f>
        <v/>
      </c>
    </row>
    <row r="121">
      <c r="P121" s="6">
        <f>IFERROR(K121/F121*1000,"")</f>
        <v/>
      </c>
      <c r="Q121" s="6">
        <f>IFERROR(L121/F121*1000,"")</f>
        <v/>
      </c>
      <c r="R121" s="6">
        <f>IFERROR(M121/F121*1000,"")</f>
        <v/>
      </c>
    </row>
    <row r="122">
      <c r="P122" s="6">
        <f>IFERROR(K122/F122*1000,"")</f>
        <v/>
      </c>
      <c r="Q122" s="6">
        <f>IFERROR(L122/F122*1000,"")</f>
        <v/>
      </c>
      <c r="R122" s="6">
        <f>IFERROR(M122/F122*1000,"")</f>
        <v/>
      </c>
    </row>
    <row r="123">
      <c r="P123" s="6">
        <f>IFERROR(K123/F123*1000,"")</f>
        <v/>
      </c>
      <c r="Q123" s="6">
        <f>IFERROR(L123/F123*1000,"")</f>
        <v/>
      </c>
      <c r="R123" s="6">
        <f>IFERROR(M123/F123*1000,"")</f>
        <v/>
      </c>
    </row>
    <row r="124">
      <c r="P124" s="6">
        <f>IFERROR(K124/F124*1000,"")</f>
        <v/>
      </c>
      <c r="Q124" s="6">
        <f>IFERROR(L124/F124*1000,"")</f>
        <v/>
      </c>
      <c r="R124" s="6">
        <f>IFERROR(M124/F124*1000,"")</f>
        <v/>
      </c>
    </row>
    <row r="125">
      <c r="P125" s="6">
        <f>IFERROR(K125/F125*1000,"")</f>
        <v/>
      </c>
      <c r="Q125" s="6">
        <f>IFERROR(L125/F125*1000,"")</f>
        <v/>
      </c>
      <c r="R125" s="6">
        <f>IFERROR(M125/F125*1000,"")</f>
        <v/>
      </c>
    </row>
    <row r="126">
      <c r="P126" s="6">
        <f>IFERROR(K126/F126*1000,"")</f>
        <v/>
      </c>
      <c r="Q126" s="6">
        <f>IFERROR(L126/F126*1000,"")</f>
        <v/>
      </c>
      <c r="R126" s="6">
        <f>IFERROR(M126/F126*1000,"")</f>
        <v/>
      </c>
    </row>
    <row r="127">
      <c r="P127" s="6">
        <f>IFERROR(K127/F127*1000,"")</f>
        <v/>
      </c>
      <c r="Q127" s="6">
        <f>IFERROR(L127/F127*1000,"")</f>
        <v/>
      </c>
      <c r="R127" s="6">
        <f>IFERROR(M127/F127*1000,"")</f>
        <v/>
      </c>
    </row>
    <row r="128">
      <c r="P128" s="6">
        <f>IFERROR(K128/F128*1000,"")</f>
        <v/>
      </c>
      <c r="Q128" s="6">
        <f>IFERROR(L128/F128*1000,"")</f>
        <v/>
      </c>
      <c r="R128" s="6">
        <f>IFERROR(M128/F128*1000,"")</f>
        <v/>
      </c>
    </row>
    <row r="129">
      <c r="P129" s="6">
        <f>IFERROR(K129/F129*1000,"")</f>
        <v/>
      </c>
      <c r="Q129" s="6">
        <f>IFERROR(L129/F129*1000,"")</f>
        <v/>
      </c>
      <c r="R129" s="6">
        <f>IFERROR(M129/F129*1000,"")</f>
        <v/>
      </c>
    </row>
    <row r="130">
      <c r="P130" s="6">
        <f>IFERROR(K130/F130*1000,"")</f>
        <v/>
      </c>
      <c r="Q130" s="6">
        <f>IFERROR(L130/F130*1000,"")</f>
        <v/>
      </c>
      <c r="R130" s="6">
        <f>IFERROR(M130/F130*1000,"")</f>
        <v/>
      </c>
    </row>
    <row r="131">
      <c r="P131" s="6">
        <f>IFERROR(K131/F131*1000,"")</f>
        <v/>
      </c>
      <c r="Q131" s="6">
        <f>IFERROR(L131/F131*1000,"")</f>
        <v/>
      </c>
      <c r="R131" s="6">
        <f>IFERROR(M131/F131*1000,"")</f>
        <v/>
      </c>
    </row>
    <row r="132">
      <c r="P132" s="6">
        <f>IFERROR(K132/F132*1000,"")</f>
        <v/>
      </c>
      <c r="Q132" s="6">
        <f>IFERROR(L132/F132*1000,"")</f>
        <v/>
      </c>
      <c r="R132" s="6">
        <f>IFERROR(M132/F132*1000,"")</f>
        <v/>
      </c>
    </row>
    <row r="133">
      <c r="P133" s="6">
        <f>IFERROR(K133/F133*1000,"")</f>
        <v/>
      </c>
      <c r="Q133" s="6">
        <f>IFERROR(L133/F133*1000,"")</f>
        <v/>
      </c>
      <c r="R133" s="6">
        <f>IFERROR(M133/F133*1000,"")</f>
        <v/>
      </c>
    </row>
    <row r="134">
      <c r="P134" s="6">
        <f>IFERROR(K134/F134*1000,"")</f>
        <v/>
      </c>
      <c r="Q134" s="6">
        <f>IFERROR(L134/F134*1000,"")</f>
        <v/>
      </c>
      <c r="R134" s="6">
        <f>IFERROR(M134/F134*1000,"")</f>
        <v/>
      </c>
    </row>
    <row r="135">
      <c r="P135" s="6">
        <f>IFERROR(K135/F135*1000,"")</f>
        <v/>
      </c>
      <c r="Q135" s="6">
        <f>IFERROR(L135/F135*1000,"")</f>
        <v/>
      </c>
      <c r="R135" s="6">
        <f>IFERROR(M135/F135*1000,"")</f>
        <v/>
      </c>
    </row>
    <row r="136">
      <c r="P136" s="6">
        <f>IFERROR(K136/F136*1000,"")</f>
        <v/>
      </c>
      <c r="Q136" s="6">
        <f>IFERROR(L136/F136*1000,"")</f>
        <v/>
      </c>
      <c r="R136" s="6">
        <f>IFERROR(M136/F136*1000,"")</f>
        <v/>
      </c>
    </row>
    <row r="137">
      <c r="P137" s="6">
        <f>IFERROR(K137/F137*1000,"")</f>
        <v/>
      </c>
      <c r="Q137" s="6">
        <f>IFERROR(L137/F137*1000,"")</f>
        <v/>
      </c>
      <c r="R137" s="6">
        <f>IFERROR(M137/F137*1000,"")</f>
        <v/>
      </c>
    </row>
    <row r="138">
      <c r="P138" s="6">
        <f>IFERROR(K138/F138*1000,"")</f>
        <v/>
      </c>
      <c r="Q138" s="6">
        <f>IFERROR(L138/F138*1000,"")</f>
        <v/>
      </c>
      <c r="R138" s="6">
        <f>IFERROR(M138/F138*1000,"")</f>
        <v/>
      </c>
    </row>
    <row r="139">
      <c r="P139" s="6">
        <f>IFERROR(K139/F139*1000,"")</f>
        <v/>
      </c>
      <c r="Q139" s="6">
        <f>IFERROR(L139/F139*1000,"")</f>
        <v/>
      </c>
      <c r="R139" s="6">
        <f>IFERROR(M139/F139*1000,"")</f>
        <v/>
      </c>
    </row>
    <row r="140">
      <c r="P140" s="6">
        <f>IFERROR(K140/F140*1000,"")</f>
        <v/>
      </c>
      <c r="Q140" s="6">
        <f>IFERROR(L140/F140*1000,"")</f>
        <v/>
      </c>
      <c r="R140" s="6">
        <f>IFERROR(M140/F140*1000,"")</f>
        <v/>
      </c>
    </row>
    <row r="141">
      <c r="P141" s="6">
        <f>IFERROR(K141/F141*1000,"")</f>
        <v/>
      </c>
      <c r="Q141" s="6">
        <f>IFERROR(L141/F141*1000,"")</f>
        <v/>
      </c>
      <c r="R141" s="6">
        <f>IFERROR(M141/F141*1000,"")</f>
        <v/>
      </c>
    </row>
    <row r="142">
      <c r="P142" s="6">
        <f>IFERROR(K142/F142*1000,"")</f>
        <v/>
      </c>
      <c r="Q142" s="6">
        <f>IFERROR(L142/F142*1000,"")</f>
        <v/>
      </c>
      <c r="R142" s="6">
        <f>IFERROR(M142/F142*1000,"")</f>
        <v/>
      </c>
    </row>
    <row r="143">
      <c r="P143" s="6">
        <f>IFERROR(K143/F143*1000,"")</f>
        <v/>
      </c>
      <c r="Q143" s="6">
        <f>IFERROR(L143/F143*1000,"")</f>
        <v/>
      </c>
      <c r="R143" s="6">
        <f>IFERROR(M143/F143*1000,"")</f>
        <v/>
      </c>
    </row>
    <row r="144">
      <c r="P144" s="6">
        <f>IFERROR(K144/F144*1000,"")</f>
        <v/>
      </c>
      <c r="Q144" s="6">
        <f>IFERROR(L144/F144*1000,"")</f>
        <v/>
      </c>
      <c r="R144" s="6">
        <f>IFERROR(M144/F144*1000,"")</f>
        <v/>
      </c>
    </row>
    <row r="145">
      <c r="P145" s="6">
        <f>IFERROR(K145/F145*1000,"")</f>
        <v/>
      </c>
      <c r="Q145" s="6">
        <f>IFERROR(L145/F145*1000,"")</f>
        <v/>
      </c>
      <c r="R145" s="6">
        <f>IFERROR(M145/F145*1000,"")</f>
        <v/>
      </c>
    </row>
    <row r="146">
      <c r="P146" s="6">
        <f>IFERROR(K146/F146*1000,"")</f>
        <v/>
      </c>
      <c r="Q146" s="6">
        <f>IFERROR(L146/F146*1000,"")</f>
        <v/>
      </c>
      <c r="R146" s="6">
        <f>IFERROR(M146/F146*1000,"")</f>
        <v/>
      </c>
    </row>
    <row r="147">
      <c r="P147" s="6">
        <f>IFERROR(K147/F147*1000,"")</f>
        <v/>
      </c>
      <c r="Q147" s="6">
        <f>IFERROR(L147/F147*1000,"")</f>
        <v/>
      </c>
      <c r="R147" s="6">
        <f>IFERROR(M147/F147*1000,"")</f>
        <v/>
      </c>
    </row>
    <row r="148">
      <c r="P148" s="6">
        <f>IFERROR(K148/F148*1000,"")</f>
        <v/>
      </c>
      <c r="Q148" s="6">
        <f>IFERROR(L148/F148*1000,"")</f>
        <v/>
      </c>
      <c r="R148" s="6">
        <f>IFERROR(M148/F148*1000,"")</f>
        <v/>
      </c>
    </row>
    <row r="149">
      <c r="P149" s="6">
        <f>IFERROR(K149/F149*1000,"")</f>
        <v/>
      </c>
      <c r="Q149" s="6">
        <f>IFERROR(L149/F149*1000,"")</f>
        <v/>
      </c>
      <c r="R149" s="6">
        <f>IFERROR(M149/F149*1000,"")</f>
        <v/>
      </c>
    </row>
    <row r="150">
      <c r="P150" s="6">
        <f>IFERROR(K150/F150*1000,"")</f>
        <v/>
      </c>
      <c r="Q150" s="6">
        <f>IFERROR(L150/F150*1000,"")</f>
        <v/>
      </c>
      <c r="R150" s="6">
        <f>IFERROR(M150/F150*1000,"")</f>
        <v/>
      </c>
    </row>
    <row r="151">
      <c r="P151" s="6">
        <f>IFERROR(K151/F151*1000,"")</f>
        <v/>
      </c>
      <c r="Q151" s="6">
        <f>IFERROR(L151/F151*1000,"")</f>
        <v/>
      </c>
      <c r="R151" s="6">
        <f>IFERROR(M151/F151*1000,"")</f>
        <v/>
      </c>
    </row>
    <row r="152">
      <c r="P152" s="6">
        <f>IFERROR(K152/F152*1000,"")</f>
        <v/>
      </c>
      <c r="Q152" s="6">
        <f>IFERROR(L152/F152*1000,"")</f>
        <v/>
      </c>
      <c r="R152" s="6">
        <f>IFERROR(M152/F152*1000,"")</f>
        <v/>
      </c>
    </row>
    <row r="153">
      <c r="P153" s="6">
        <f>IFERROR(K153/F153*1000,"")</f>
        <v/>
      </c>
      <c r="Q153" s="6">
        <f>IFERROR(L153/F153*1000,"")</f>
        <v/>
      </c>
      <c r="R153" s="6">
        <f>IFERROR(M153/F153*1000,"")</f>
        <v/>
      </c>
    </row>
    <row r="154">
      <c r="P154" s="6">
        <f>IFERROR(K154/F154*1000,"")</f>
        <v/>
      </c>
      <c r="Q154" s="6">
        <f>IFERROR(L154/F154*1000,"")</f>
        <v/>
      </c>
      <c r="R154" s="6">
        <f>IFERROR(M154/F154*1000,"")</f>
        <v/>
      </c>
    </row>
    <row r="155">
      <c r="P155" s="6">
        <f>IFERROR(K155/F155*1000,"")</f>
        <v/>
      </c>
      <c r="Q155" s="6">
        <f>IFERROR(L155/F155*1000,"")</f>
        <v/>
      </c>
      <c r="R155" s="6">
        <f>IFERROR(M155/F155*1000,"")</f>
        <v/>
      </c>
    </row>
    <row r="156">
      <c r="P156" s="6">
        <f>IFERROR(K156/F156*1000,"")</f>
        <v/>
      </c>
      <c r="Q156" s="6">
        <f>IFERROR(L156/F156*1000,"")</f>
        <v/>
      </c>
      <c r="R156" s="6">
        <f>IFERROR(M156/F156*1000,"")</f>
        <v/>
      </c>
    </row>
    <row r="157">
      <c r="P157" s="6">
        <f>IFERROR(K157/F157*1000,"")</f>
        <v/>
      </c>
      <c r="Q157" s="6">
        <f>IFERROR(L157/F157*1000,"")</f>
        <v/>
      </c>
      <c r="R157" s="6">
        <f>IFERROR(M157/F157*1000,"")</f>
        <v/>
      </c>
    </row>
    <row r="158">
      <c r="P158" s="6">
        <f>IFERROR(K158/F158*1000,"")</f>
        <v/>
      </c>
      <c r="Q158" s="6">
        <f>IFERROR(L158/F158*1000,"")</f>
        <v/>
      </c>
      <c r="R158" s="6">
        <f>IFERROR(M158/F158*1000,"")</f>
        <v/>
      </c>
    </row>
    <row r="159">
      <c r="P159" s="6">
        <f>IFERROR(K159/F159*1000,"")</f>
        <v/>
      </c>
      <c r="Q159" s="6">
        <f>IFERROR(L159/F159*1000,"")</f>
        <v/>
      </c>
      <c r="R159" s="6">
        <f>IFERROR(M159/F159*1000,"")</f>
        <v/>
      </c>
    </row>
    <row r="160">
      <c r="P160" s="6">
        <f>IFERROR(K160/F160*1000,"")</f>
        <v/>
      </c>
      <c r="Q160" s="6">
        <f>IFERROR(L160/F160*1000,"")</f>
        <v/>
      </c>
      <c r="R160" s="6">
        <f>IFERROR(M160/F160*1000,"")</f>
        <v/>
      </c>
    </row>
    <row r="161">
      <c r="P161" s="6">
        <f>IFERROR(K161/F161*1000,"")</f>
        <v/>
      </c>
      <c r="Q161" s="6">
        <f>IFERROR(L161/F161*1000,"")</f>
        <v/>
      </c>
      <c r="R161" s="6">
        <f>IFERROR(M161/F161*1000,"")</f>
        <v/>
      </c>
    </row>
    <row r="162">
      <c r="P162" s="6">
        <f>IFERROR(K162/F162*1000,"")</f>
        <v/>
      </c>
      <c r="Q162" s="6">
        <f>IFERROR(L162/F162*1000,"")</f>
        <v/>
      </c>
      <c r="R162" s="6">
        <f>IFERROR(M162/F162*1000,"")</f>
        <v/>
      </c>
    </row>
    <row r="163">
      <c r="P163" s="6">
        <f>IFERROR(K163/F163*1000,"")</f>
        <v/>
      </c>
      <c r="Q163" s="6">
        <f>IFERROR(L163/F163*1000,"")</f>
        <v/>
      </c>
      <c r="R163" s="6">
        <f>IFERROR(M163/F163*1000,"")</f>
        <v/>
      </c>
    </row>
    <row r="164">
      <c r="P164" s="6">
        <f>IFERROR(K164/F164*1000,"")</f>
        <v/>
      </c>
      <c r="Q164" s="6">
        <f>IFERROR(L164/F164*1000,"")</f>
        <v/>
      </c>
      <c r="R164" s="6">
        <f>IFERROR(M164/F164*1000,"")</f>
        <v/>
      </c>
    </row>
    <row r="165">
      <c r="P165" s="6">
        <f>IFERROR(K165/F165*1000,"")</f>
        <v/>
      </c>
      <c r="Q165" s="6">
        <f>IFERROR(L165/F165*1000,"")</f>
        <v/>
      </c>
      <c r="R165" s="6">
        <f>IFERROR(M165/F165*1000,"")</f>
        <v/>
      </c>
    </row>
    <row r="166">
      <c r="P166" s="6">
        <f>IFERROR(K166/F166*1000,"")</f>
        <v/>
      </c>
      <c r="Q166" s="6">
        <f>IFERROR(L166/F166*1000,"")</f>
        <v/>
      </c>
      <c r="R166" s="6">
        <f>IFERROR(M166/F166*1000,"")</f>
        <v/>
      </c>
    </row>
    <row r="167">
      <c r="P167" s="6">
        <f>IFERROR(K167/F167*1000,"")</f>
        <v/>
      </c>
      <c r="Q167" s="6">
        <f>IFERROR(L167/F167*1000,"")</f>
        <v/>
      </c>
      <c r="R167" s="6">
        <f>IFERROR(M167/F167*1000,"")</f>
        <v/>
      </c>
    </row>
    <row r="168">
      <c r="P168" s="6">
        <f>IFERROR(K168/F168*1000,"")</f>
        <v/>
      </c>
      <c r="Q168" s="6">
        <f>IFERROR(L168/F168*1000,"")</f>
        <v/>
      </c>
      <c r="R168" s="6">
        <f>IFERROR(M168/F168*1000,"")</f>
        <v/>
      </c>
    </row>
    <row r="169">
      <c r="P169" s="6">
        <f>IFERROR(K169/F169*1000,"")</f>
        <v/>
      </c>
      <c r="Q169" s="6">
        <f>IFERROR(L169/F169*1000,"")</f>
        <v/>
      </c>
      <c r="R169" s="6">
        <f>IFERROR(M169/F169*1000,"")</f>
        <v/>
      </c>
    </row>
    <row r="170">
      <c r="P170" s="6">
        <f>IFERROR(K170/F170*1000,"")</f>
        <v/>
      </c>
      <c r="Q170" s="6">
        <f>IFERROR(L170/F170*1000,"")</f>
        <v/>
      </c>
      <c r="R170" s="6">
        <f>IFERROR(M170/F170*1000,"")</f>
        <v/>
      </c>
    </row>
    <row r="171">
      <c r="P171" s="6">
        <f>IFERROR(K171/F171*1000,"")</f>
        <v/>
      </c>
      <c r="Q171" s="6">
        <f>IFERROR(L171/F171*1000,"")</f>
        <v/>
      </c>
      <c r="R171" s="6">
        <f>IFERROR(M171/F171*1000,"")</f>
        <v/>
      </c>
    </row>
    <row r="172">
      <c r="P172" s="6">
        <f>IFERROR(K172/F172*1000,"")</f>
        <v/>
      </c>
      <c r="Q172" s="6">
        <f>IFERROR(L172/F172*1000,"")</f>
        <v/>
      </c>
      <c r="R172" s="6">
        <f>IFERROR(M172/F172*1000,"")</f>
        <v/>
      </c>
    </row>
    <row r="173">
      <c r="P173" s="6">
        <f>IFERROR(K173/F173*1000,"")</f>
        <v/>
      </c>
      <c r="Q173" s="6">
        <f>IFERROR(L173/F173*1000,"")</f>
        <v/>
      </c>
      <c r="R173" s="6">
        <f>IFERROR(M173/F173*1000,"")</f>
        <v/>
      </c>
    </row>
    <row r="174">
      <c r="P174" s="6">
        <f>IFERROR(K174/F174*1000,"")</f>
        <v/>
      </c>
      <c r="Q174" s="6">
        <f>IFERROR(L174/F174*1000,"")</f>
        <v/>
      </c>
      <c r="R174" s="6">
        <f>IFERROR(M174/F174*1000,"")</f>
        <v/>
      </c>
    </row>
    <row r="175">
      <c r="P175" s="6">
        <f>IFERROR(K175/F175*1000,"")</f>
        <v/>
      </c>
      <c r="Q175" s="6">
        <f>IFERROR(L175/F175*1000,"")</f>
        <v/>
      </c>
      <c r="R175" s="6">
        <f>IFERROR(M175/F175*1000,"")</f>
        <v/>
      </c>
    </row>
    <row r="176">
      <c r="P176" s="6">
        <f>IFERROR(K176/F176*1000,"")</f>
        <v/>
      </c>
      <c r="Q176" s="6">
        <f>IFERROR(L176/F176*1000,"")</f>
        <v/>
      </c>
      <c r="R176" s="6">
        <f>IFERROR(M176/F176*1000,"")</f>
        <v/>
      </c>
    </row>
    <row r="177">
      <c r="P177" s="6">
        <f>IFERROR(K177/F177*1000,"")</f>
        <v/>
      </c>
      <c r="Q177" s="6">
        <f>IFERROR(L177/F177*1000,"")</f>
        <v/>
      </c>
      <c r="R177" s="6">
        <f>IFERROR(M177/F177*1000,"")</f>
        <v/>
      </c>
    </row>
    <row r="178">
      <c r="P178" s="6">
        <f>IFERROR(K178/F178*1000,"")</f>
        <v/>
      </c>
      <c r="Q178" s="6">
        <f>IFERROR(L178/F178*1000,"")</f>
        <v/>
      </c>
      <c r="R178" s="6">
        <f>IFERROR(M178/F178*1000,"")</f>
        <v/>
      </c>
    </row>
    <row r="179">
      <c r="P179" s="6">
        <f>IFERROR(K179/F179*1000,"")</f>
        <v/>
      </c>
      <c r="Q179" s="6">
        <f>IFERROR(L179/F179*1000,"")</f>
        <v/>
      </c>
      <c r="R179" s="6">
        <f>IFERROR(M179/F179*1000,"")</f>
        <v/>
      </c>
    </row>
    <row r="180">
      <c r="P180" s="6">
        <f>IFERROR(K180/F180*1000,"")</f>
        <v/>
      </c>
      <c r="Q180" s="6">
        <f>IFERROR(L180/F180*1000,"")</f>
        <v/>
      </c>
      <c r="R180" s="6">
        <f>IFERROR(M180/F180*1000,"")</f>
        <v/>
      </c>
    </row>
    <row r="181">
      <c r="P181" s="6">
        <f>IFERROR(K181/F181*1000,"")</f>
        <v/>
      </c>
      <c r="Q181" s="6">
        <f>IFERROR(L181/F181*1000,"")</f>
        <v/>
      </c>
      <c r="R181" s="6">
        <f>IFERROR(M181/F181*1000,"")</f>
        <v/>
      </c>
    </row>
    <row r="182">
      <c r="P182" s="6">
        <f>IFERROR(K182/F182*1000,"")</f>
        <v/>
      </c>
      <c r="Q182" s="6">
        <f>IFERROR(L182/F182*1000,"")</f>
        <v/>
      </c>
      <c r="R182" s="6">
        <f>IFERROR(M182/F182*1000,"")</f>
        <v/>
      </c>
    </row>
    <row r="183">
      <c r="P183" s="6">
        <f>IFERROR(K183/F183*1000,"")</f>
        <v/>
      </c>
      <c r="Q183" s="6">
        <f>IFERROR(L183/F183*1000,"")</f>
        <v/>
      </c>
      <c r="R183" s="6">
        <f>IFERROR(M183/F183*1000,"")</f>
        <v/>
      </c>
    </row>
    <row r="184">
      <c r="P184" s="6">
        <f>IFERROR(K184/F184*1000,"")</f>
        <v/>
      </c>
      <c r="Q184" s="6">
        <f>IFERROR(L184/F184*1000,"")</f>
        <v/>
      </c>
      <c r="R184" s="6">
        <f>IFERROR(M184/F184*1000,"")</f>
        <v/>
      </c>
    </row>
    <row r="185">
      <c r="P185" s="6">
        <f>IFERROR(K185/F185*1000,"")</f>
        <v/>
      </c>
      <c r="Q185" s="6">
        <f>IFERROR(L185/F185*1000,"")</f>
        <v/>
      </c>
      <c r="R185" s="6">
        <f>IFERROR(M185/F185*1000,"")</f>
        <v/>
      </c>
    </row>
    <row r="186">
      <c r="P186" s="6">
        <f>IFERROR(K186/F186*1000,"")</f>
        <v/>
      </c>
      <c r="Q186" s="6">
        <f>IFERROR(L186/F186*1000,"")</f>
        <v/>
      </c>
      <c r="R186" s="6">
        <f>IFERROR(M186/F186*1000,"")</f>
        <v/>
      </c>
    </row>
    <row r="187">
      <c r="P187" s="6">
        <f>IFERROR(K187/F187*1000,"")</f>
        <v/>
      </c>
      <c r="Q187" s="6">
        <f>IFERROR(L187/F187*1000,"")</f>
        <v/>
      </c>
      <c r="R187" s="6">
        <f>IFERROR(M187/F187*1000,"")</f>
        <v/>
      </c>
    </row>
    <row r="188">
      <c r="P188" s="6">
        <f>IFERROR(K188/F188*1000,"")</f>
        <v/>
      </c>
      <c r="Q188" s="6">
        <f>IFERROR(L188/F188*1000,"")</f>
        <v/>
      </c>
      <c r="R188" s="6">
        <f>IFERROR(M188/F188*1000,"")</f>
        <v/>
      </c>
    </row>
    <row r="189">
      <c r="P189" s="6">
        <f>IFERROR(K189/F189*1000,"")</f>
        <v/>
      </c>
      <c r="Q189" s="6">
        <f>IFERROR(L189/F189*1000,"")</f>
        <v/>
      </c>
      <c r="R189" s="6">
        <f>IFERROR(M189/F189*1000,"")</f>
        <v/>
      </c>
    </row>
    <row r="190">
      <c r="P190" s="6">
        <f>IFERROR(K190/F190*1000,"")</f>
        <v/>
      </c>
      <c r="Q190" s="6">
        <f>IFERROR(L190/F190*1000,"")</f>
        <v/>
      </c>
      <c r="R190" s="6">
        <f>IFERROR(M190/F190*1000,"")</f>
        <v/>
      </c>
    </row>
    <row r="191">
      <c r="P191" s="6">
        <f>IFERROR(K191/F191*1000,"")</f>
        <v/>
      </c>
      <c r="Q191" s="6">
        <f>IFERROR(L191/F191*1000,"")</f>
        <v/>
      </c>
      <c r="R191" s="6">
        <f>IFERROR(M191/F191*1000,"")</f>
        <v/>
      </c>
    </row>
    <row r="192">
      <c r="P192" s="6">
        <f>IFERROR(K192/F192*1000,"")</f>
        <v/>
      </c>
      <c r="Q192" s="6">
        <f>IFERROR(L192/F192*1000,"")</f>
        <v/>
      </c>
      <c r="R192" s="6">
        <f>IFERROR(M192/F192*1000,"")</f>
        <v/>
      </c>
    </row>
    <row r="193">
      <c r="P193" s="6">
        <f>IFERROR(K193/F193*1000,"")</f>
        <v/>
      </c>
      <c r="Q193" s="6">
        <f>IFERROR(L193/F193*1000,"")</f>
        <v/>
      </c>
      <c r="R193" s="6">
        <f>IFERROR(M193/F193*1000,"")</f>
        <v/>
      </c>
    </row>
    <row r="194">
      <c r="P194" s="6">
        <f>IFERROR(K194/F194*1000,"")</f>
        <v/>
      </c>
      <c r="Q194" s="6">
        <f>IFERROR(L194/F194*1000,"")</f>
        <v/>
      </c>
      <c r="R194" s="6">
        <f>IFERROR(M194/F194*1000,"")</f>
        <v/>
      </c>
    </row>
    <row r="195">
      <c r="P195" s="6">
        <f>IFERROR(K195/F195*1000,"")</f>
        <v/>
      </c>
      <c r="Q195" s="6">
        <f>IFERROR(L195/F195*1000,"")</f>
        <v/>
      </c>
      <c r="R195" s="6">
        <f>IFERROR(M195/F195*1000,"")</f>
        <v/>
      </c>
    </row>
    <row r="196">
      <c r="P196" s="6">
        <f>IFERROR(K196/F196*1000,"")</f>
        <v/>
      </c>
      <c r="Q196" s="6">
        <f>IFERROR(L196/F196*1000,"")</f>
        <v/>
      </c>
      <c r="R196" s="6">
        <f>IFERROR(M196/F196*1000,"")</f>
        <v/>
      </c>
    </row>
    <row r="197">
      <c r="P197" s="6">
        <f>IFERROR(K197/F197*1000,"")</f>
        <v/>
      </c>
      <c r="Q197" s="6">
        <f>IFERROR(L197/F197*1000,"")</f>
        <v/>
      </c>
      <c r="R197" s="6">
        <f>IFERROR(M197/F197*1000,"")</f>
        <v/>
      </c>
    </row>
    <row r="198">
      <c r="P198" s="6">
        <f>IFERROR(K198/F198*1000,"")</f>
        <v/>
      </c>
      <c r="Q198" s="6">
        <f>IFERROR(L198/F198*1000,"")</f>
        <v/>
      </c>
      <c r="R198" s="6">
        <f>IFERROR(M198/F198*1000,"")</f>
        <v/>
      </c>
    </row>
    <row r="199">
      <c r="P199" s="6">
        <f>IFERROR(K199/F199*1000,"")</f>
        <v/>
      </c>
      <c r="Q199" s="6">
        <f>IFERROR(L199/F199*1000,"")</f>
        <v/>
      </c>
      <c r="R199" s="6">
        <f>IFERROR(M199/F199*1000,"")</f>
        <v/>
      </c>
    </row>
    <row r="200">
      <c r="P200" s="6">
        <f>IFERROR(K200/F200*1000,"")</f>
        <v/>
      </c>
      <c r="Q200" s="6">
        <f>IFERROR(L200/F200*1000,"")</f>
        <v/>
      </c>
      <c r="R200" s="6">
        <f>IFERROR(M200/F200*1000,"")</f>
        <v/>
      </c>
    </row>
    <row r="201">
      <c r="P201" s="6">
        <f>IFERROR(K201/F201*1000,"")</f>
        <v/>
      </c>
      <c r="Q201" s="6">
        <f>IFERROR(L201/F201*1000,"")</f>
        <v/>
      </c>
      <c r="R201" s="6">
        <f>IFERROR(M201/F201*1000,"")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60" customWidth="1" min="4" max="4"/>
  </cols>
  <sheetData>
    <row r="1">
      <c r="A1" s="7" t="inlineStr">
        <is>
          <t>Unit economics per first order (yellow = your inputs; green = calculated)</t>
        </is>
      </c>
    </row>
    <row r="2">
      <c r="A2" s="8" t="n"/>
      <c r="B2" s="8" t="inlineStr">
        <is>
          <t>Tee</t>
        </is>
      </c>
      <c r="C2" s="8" t="inlineStr">
        <is>
          <t>Long sleeve</t>
        </is>
      </c>
      <c r="D2" s="8" t="inlineStr">
        <is>
          <t>Source / note</t>
        </is>
      </c>
    </row>
    <row r="3">
      <c r="A3" t="inlineStr">
        <is>
          <t>Retail price</t>
        </is>
      </c>
      <c r="B3" s="9" t="n">
        <v>49.99</v>
      </c>
      <c r="C3" s="9" t="n">
        <v>59.99</v>
      </c>
      <c r="D3" t="inlineStr">
        <is>
          <t>Live store, 11 Oct 2026</t>
        </is>
      </c>
    </row>
    <row r="4">
      <c r="A4" t="inlineStr">
        <is>
          <t>Discount % (welcome code; 0 if none)</t>
        </is>
      </c>
      <c r="B4" s="10" t="n">
        <v>0.1</v>
      </c>
      <c r="C4" s="10" t="n">
        <v>0.1</v>
      </c>
      <c r="D4" t="inlineStr">
        <is>
          <t>IRON10 planned</t>
        </is>
      </c>
    </row>
    <row r="5">
      <c r="A5" t="inlineStr">
        <is>
          <t>Shipping charged to customer $</t>
        </is>
      </c>
      <c r="B5" s="9" t="n">
        <v>5.95</v>
      </c>
      <c r="C5" s="9" t="n">
        <v>5.95</v>
      </c>
      <c r="D5" t="inlineStr">
        <is>
          <t>VERIFY in Settings → Shipping (0 if free shipping)</t>
        </is>
      </c>
    </row>
    <row r="6">
      <c r="A6" t="inlineStr">
        <is>
          <t>PODpartner product cost incl. prints $</t>
        </is>
      </c>
      <c r="B6" s="9" t="n"/>
      <c r="C6" s="9" t="n"/>
      <c r="D6" t="inlineStr">
        <is>
          <t>REQUIRED: PODpartner → product cost (estimate tee 16–24, LS 20–30)</t>
        </is>
      </c>
    </row>
    <row r="7">
      <c r="A7" t="inlineStr">
        <is>
          <t>PODpartner shipping cost $</t>
        </is>
      </c>
      <c r="B7" s="9" t="n"/>
      <c r="C7" s="9" t="n"/>
      <c r="D7" t="inlineStr">
        <is>
          <t>REQUIRED: PODpartner shipping, first item US standard (estimate 5–8)</t>
        </is>
      </c>
    </row>
    <row r="8">
      <c r="A8" t="inlineStr">
        <is>
          <t>Payment fee %</t>
        </is>
      </c>
      <c r="B8" s="10" t="n">
        <v>0.029</v>
      </c>
      <c r="C8" s="10" t="n">
        <v>0.029</v>
      </c>
      <c r="D8" t="inlineStr">
        <is>
          <t>Shopify Payments US online (Basic plan)</t>
        </is>
      </c>
    </row>
    <row r="9">
      <c r="A9" t="inlineStr">
        <is>
          <t>Payment fee fixed $</t>
        </is>
      </c>
      <c r="B9" s="9" t="n">
        <v>0.3</v>
      </c>
      <c r="C9" s="9" t="n">
        <v>0.3</v>
      </c>
      <c r="D9" t="inlineStr">
        <is>
          <t>Shopify Payments</t>
        </is>
      </c>
    </row>
    <row r="10">
      <c r="A10" t="inlineStr">
        <is>
          <t>Affiliate commission % (0 if none)</t>
        </is>
      </c>
      <c r="B10" s="10" t="n">
        <v>0</v>
      </c>
      <c r="C10" s="10" t="n">
        <v>0</v>
      </c>
      <c r="D10" t="inlineStr">
        <is>
          <t>e.g. 0.15 for creator orders</t>
        </is>
      </c>
    </row>
    <row r="12">
      <c r="A12" s="11" t="inlineStr">
        <is>
          <t>Product revenue after discount $</t>
        </is>
      </c>
      <c r="B12" s="4">
        <f>B3*(1-B4)</f>
        <v/>
      </c>
      <c r="C12" s="4">
        <f>C3*(1-C4)</f>
        <v/>
      </c>
    </row>
    <row r="13">
      <c r="A13" s="11" t="inlineStr">
        <is>
          <t>Customer pays (incl. shipping) $</t>
        </is>
      </c>
      <c r="B13" s="4">
        <f>B12+B5</f>
        <v/>
      </c>
      <c r="C13" s="4">
        <f>C12+C5</f>
        <v/>
      </c>
    </row>
    <row r="14">
      <c r="A14" s="11" t="inlineStr">
        <is>
          <t>Payment fee $</t>
        </is>
      </c>
      <c r="B14" s="4">
        <f>B13*B8+B9</f>
        <v/>
      </c>
      <c r="C14" s="4">
        <f>C13*C8+C9</f>
        <v/>
      </c>
    </row>
    <row r="15">
      <c r="A15" s="11" t="inlineStr">
        <is>
          <t>Affiliate commission $</t>
        </is>
      </c>
      <c r="B15" s="4">
        <f>B12*B10</f>
        <v/>
      </c>
      <c r="C15" s="4">
        <f>C12*C10</f>
        <v/>
      </c>
    </row>
    <row r="16">
      <c r="A16" s="12" t="inlineStr">
        <is>
          <t>Contribution per order $ (= break-even CAC on first order)</t>
        </is>
      </c>
      <c r="B16" s="4">
        <f>IF(OR(B6="",B7=""),"enter PODpartner costs",B13-B14-B15-B6-B7)</f>
        <v/>
      </c>
      <c r="C16" s="4">
        <f>IF(OR(C6="",C7=""),"enter PODpartner costs",C13-C14-C15-C6-C7)</f>
        <v/>
      </c>
    </row>
    <row r="17">
      <c r="A17" s="11" t="inlineStr">
        <is>
          <t>Contribution margin % of what customer pays</t>
        </is>
      </c>
      <c r="B17" s="13">
        <f>IFERROR(B16/B13,"")</f>
        <v/>
      </c>
      <c r="C17" s="13">
        <f>IFERROR(C16/C13,"")</f>
        <v/>
      </c>
    </row>
    <row r="19">
      <c r="A19" s="14" t="inlineStr">
        <is>
          <t>Reading it: if a paid channel costs more per customer than the contribution, it loses money on the first order. Meta apparel CPA benchmarks (~$24, low confidence) are in the same range as estimated contribution, so paid ads are at best break-even until AOV or repeat purchases rise.</t>
        </is>
      </c>
    </row>
    <row r="20"/>
    <row r="21"/>
  </sheetData>
  <mergeCells count="1">
    <mergeCell ref="A19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10" customWidth="1" min="6" max="6"/>
  </cols>
  <sheetData>
    <row r="1" ht="36" customHeight="1">
      <c r="A1" s="3" t="inlineStr">
        <is>
          <t>Base URL</t>
        </is>
      </c>
      <c r="B1" s="3" t="inlineStr">
        <is>
          <t>utm_source</t>
        </is>
      </c>
      <c r="C1" s="3" t="inlineStr">
        <is>
          <t>utm_medium</t>
        </is>
      </c>
      <c r="D1" s="3" t="inlineStr">
        <is>
          <t>utm_campaign</t>
        </is>
      </c>
      <c r="E1" s="3" t="inlineStr">
        <is>
          <t>utm_content</t>
        </is>
      </c>
      <c r="F1" s="3" t="inlineStr">
        <is>
          <t>Full link (copy this)</t>
        </is>
      </c>
    </row>
    <row r="2">
      <c r="A2" t="inlineStr">
        <is>
          <t>https://swolvation.myshopify.com/</t>
        </is>
      </c>
      <c r="B2" t="inlineStr">
        <is>
          <t>instagram</t>
        </is>
      </c>
      <c r="C2" t="inlineStr">
        <is>
          <t>social</t>
        </is>
      </c>
      <c r="D2" t="inlineStr">
        <is>
          <t>bio</t>
        </is>
      </c>
      <c r="E2" t="inlineStr">
        <is>
          <t>linkinbio</t>
        </is>
      </c>
      <c r="F2" s="15">
        <f>IF(A2="","",A2&amp;IF(ISNUMBER(SEARCH("?",A2)),"&amp;","?")&amp;"utm_source="&amp;B2&amp;"&amp;utm_medium="&amp;C2&amp;"&amp;utm_campaign="&amp;D2&amp;"&amp;utm_content="&amp;E2)</f>
        <v/>
      </c>
    </row>
    <row r="3">
      <c r="A3" t="inlineStr">
        <is>
          <t>https://swolvation.myshopify.com/products/template1</t>
        </is>
      </c>
      <c r="B3" t="inlineStr">
        <is>
          <t>tiktok</t>
        </is>
      </c>
      <c r="C3" t="inlineStr">
        <is>
          <t>social</t>
        </is>
      </c>
      <c r="D3" t="inlineStr">
        <is>
          <t>organic</t>
        </is>
      </c>
      <c r="E3" t="inlineStr">
        <is>
          <t>v3_notchurchmerch</t>
        </is>
      </c>
      <c r="F3" s="15">
        <f>IF(A3="","",A3&amp;IF(ISNUMBER(SEARCH("?",A3)),"&amp;","?")&amp;"utm_source="&amp;B3&amp;"&amp;utm_medium="&amp;C3&amp;"&amp;utm_campaign="&amp;D3&amp;"&amp;utm_content="&amp;E3)</f>
        <v/>
      </c>
    </row>
    <row r="4">
      <c r="A4" t="inlineStr">
        <is>
          <t>https://swolvation.myshopify.com/</t>
        </is>
      </c>
      <c r="B4" t="inlineStr">
        <is>
          <t>instagram</t>
        </is>
      </c>
      <c r="C4" t="inlineStr">
        <is>
          <t>social</t>
        </is>
      </c>
      <c r="D4" t="inlineStr">
        <is>
          <t>story</t>
        </is>
      </c>
      <c r="E4" t="inlineStr">
        <is>
          <t>day7_list10</t>
        </is>
      </c>
      <c r="F4" s="15">
        <f>IF(A4="","",A4&amp;IF(ISNUMBER(SEARCH("?",A4)),"&amp;","?")&amp;"utm_source="&amp;B4&amp;"&amp;utm_medium="&amp;C4&amp;"&amp;utm_campaign="&amp;D4&amp;"&amp;utm_content="&amp;E4)</f>
        <v/>
      </c>
    </row>
    <row r="5">
      <c r="A5" t="inlineStr">
        <is>
          <t>https://swolvation.myshopify.com/collections/all</t>
        </is>
      </c>
      <c r="B5" t="inlineStr">
        <is>
          <t>creator</t>
        </is>
      </c>
      <c r="C5" t="inlineStr">
        <is>
          <t>influencer</t>
        </is>
      </c>
      <c r="D5" t="inlineStr">
        <is>
          <t>gifting</t>
        </is>
      </c>
      <c r="E5" t="inlineStr">
        <is>
          <t>cr0sier</t>
        </is>
      </c>
      <c r="F5" s="15">
        <f>IF(A5="","",A5&amp;IF(ISNUMBER(SEARCH("?",A5)),"&amp;","?")&amp;"utm_source="&amp;B5&amp;"&amp;utm_medium="&amp;C5&amp;"&amp;utm_campaign="&amp;D5&amp;"&amp;utm_content="&amp;E5)</f>
        <v/>
      </c>
    </row>
    <row r="6">
      <c r="A6" t="inlineStr">
        <is>
          <t>https://swolvation.myshopify.com/collections/all</t>
        </is>
      </c>
      <c r="B6" t="inlineStr">
        <is>
          <t>shopify_email</t>
        </is>
      </c>
      <c r="C6" t="inlineStr">
        <is>
          <t>email</t>
        </is>
      </c>
      <c r="D6" t="inlineStr">
        <is>
          <t>welcome</t>
        </is>
      </c>
      <c r="E6" t="inlineStr">
        <is>
          <t>e1_button</t>
        </is>
      </c>
      <c r="F6" s="15">
        <f>IF(A6="","",A6&amp;IF(ISNUMBER(SEARCH("?",A6)),"&amp;","?")&amp;"utm_source="&amp;B6&amp;"&amp;utm_medium="&amp;C6&amp;"&amp;utm_campaign="&amp;D6&amp;"&amp;utm_content="&amp;E6)</f>
        <v/>
      </c>
    </row>
    <row r="7">
      <c r="F7" s="15">
        <f>IF(A7="","",A7&amp;IF(ISNUMBER(SEARCH("?",A7)),"&amp;","?")&amp;"utm_source="&amp;B7&amp;"&amp;utm_medium="&amp;C7&amp;"&amp;utm_campaign="&amp;D7&amp;"&amp;utm_content="&amp;E7)</f>
        <v/>
      </c>
    </row>
    <row r="8">
      <c r="F8" s="15">
        <f>IF(A8="","",A8&amp;IF(ISNUMBER(SEARCH("?",A8)),"&amp;","?")&amp;"utm_source="&amp;B8&amp;"&amp;utm_medium="&amp;C8&amp;"&amp;utm_campaign="&amp;D8&amp;"&amp;utm_content="&amp;E8)</f>
        <v/>
      </c>
    </row>
    <row r="9">
      <c r="F9" s="15">
        <f>IF(A9="","",A9&amp;IF(ISNUMBER(SEARCH("?",A9)),"&amp;","?")&amp;"utm_source="&amp;B9&amp;"&amp;utm_medium="&amp;C9&amp;"&amp;utm_campaign="&amp;D9&amp;"&amp;utm_content="&amp;E9)</f>
        <v/>
      </c>
    </row>
    <row r="10">
      <c r="F10" s="15">
        <f>IF(A10="","",A10&amp;IF(ISNUMBER(SEARCH("?",A10)),"&amp;","?")&amp;"utm_source="&amp;B10&amp;"&amp;utm_medium="&amp;C10&amp;"&amp;utm_campaign="&amp;D10&amp;"&amp;utm_content="&amp;E10)</f>
        <v/>
      </c>
    </row>
    <row r="11">
      <c r="F11" s="15">
        <f>IF(A11="","",A11&amp;IF(ISNUMBER(SEARCH("?",A11)),"&amp;","?")&amp;"utm_source="&amp;B11&amp;"&amp;utm_medium="&amp;C11&amp;"&amp;utm_campaign="&amp;D11&amp;"&amp;utm_content="&amp;E11)</f>
        <v/>
      </c>
    </row>
    <row r="12">
      <c r="F12" s="15">
        <f>IF(A12="","",A12&amp;IF(ISNUMBER(SEARCH("?",A12)),"&amp;","?")&amp;"utm_source="&amp;B12&amp;"&amp;utm_medium="&amp;C12&amp;"&amp;utm_campaign="&amp;D12&amp;"&amp;utm_content="&amp;E12)</f>
        <v/>
      </c>
    </row>
    <row r="13">
      <c r="F13" s="15">
        <f>IF(A13="","",A13&amp;IF(ISNUMBER(SEARCH("?",A13)),"&amp;","?")&amp;"utm_source="&amp;B13&amp;"&amp;utm_medium="&amp;C13&amp;"&amp;utm_campaign="&amp;D13&amp;"&amp;utm_content="&amp;E13)</f>
        <v/>
      </c>
    </row>
    <row r="14">
      <c r="F14" s="15">
        <f>IF(A14="","",A14&amp;IF(ISNUMBER(SEARCH("?",A14)),"&amp;","?")&amp;"utm_source="&amp;B14&amp;"&amp;utm_medium="&amp;C14&amp;"&amp;utm_campaign="&amp;D14&amp;"&amp;utm_content="&amp;E14)</f>
        <v/>
      </c>
    </row>
    <row r="15">
      <c r="F15" s="15">
        <f>IF(A15="","",A15&amp;IF(ISNUMBER(SEARCH("?",A15)),"&amp;","?")&amp;"utm_source="&amp;B15&amp;"&amp;utm_medium="&amp;C15&amp;"&amp;utm_campaign="&amp;D15&amp;"&amp;utm_content="&amp;E15)</f>
        <v/>
      </c>
    </row>
    <row r="16">
      <c r="F16" s="15">
        <f>IF(A16="","",A16&amp;IF(ISNUMBER(SEARCH("?",A16)),"&amp;","?")&amp;"utm_source="&amp;B16&amp;"&amp;utm_medium="&amp;C16&amp;"&amp;utm_campaign="&amp;D16&amp;"&amp;utm_content="&amp;E16)</f>
        <v/>
      </c>
    </row>
    <row r="17">
      <c r="F17" s="15">
        <f>IF(A17="","",A17&amp;IF(ISNUMBER(SEARCH("?",A17)),"&amp;","?")&amp;"utm_source="&amp;B17&amp;"&amp;utm_medium="&amp;C17&amp;"&amp;utm_campaign="&amp;D17&amp;"&amp;utm_content="&amp;E17)</f>
        <v/>
      </c>
    </row>
    <row r="18">
      <c r="F18" s="15">
        <f>IF(A18="","",A18&amp;IF(ISNUMBER(SEARCH("?",A18)),"&amp;","?")&amp;"utm_source="&amp;B18&amp;"&amp;utm_medium="&amp;C18&amp;"&amp;utm_campaign="&amp;D18&amp;"&amp;utm_content="&amp;E18)</f>
        <v/>
      </c>
    </row>
    <row r="19">
      <c r="F19" s="15">
        <f>IF(A19="","",A19&amp;IF(ISNUMBER(SEARCH("?",A19)),"&amp;","?")&amp;"utm_source="&amp;B19&amp;"&amp;utm_medium="&amp;C19&amp;"&amp;utm_campaign="&amp;D19&amp;"&amp;utm_content="&amp;E19)</f>
        <v/>
      </c>
    </row>
    <row r="20">
      <c r="F20" s="15">
        <f>IF(A20="","",A20&amp;IF(ISNUMBER(SEARCH("?",A20)),"&amp;","?")&amp;"utm_source="&amp;B20&amp;"&amp;utm_medium="&amp;C20&amp;"&amp;utm_campaign="&amp;D20&amp;"&amp;utm_content="&amp;E20)</f>
        <v/>
      </c>
    </row>
    <row r="21">
      <c r="F21" s="15">
        <f>IF(A21="","",A21&amp;IF(ISNUMBER(SEARCH("?",A21)),"&amp;","?")&amp;"utm_source="&amp;B21&amp;"&amp;utm_medium="&amp;C21&amp;"&amp;utm_campaign="&amp;D21&amp;"&amp;utm_content="&amp;E21)</f>
        <v/>
      </c>
    </row>
    <row r="22">
      <c r="F22" s="15">
        <f>IF(A22="","",A22&amp;IF(ISNUMBER(SEARCH("?",A22)),"&amp;","?")&amp;"utm_source="&amp;B22&amp;"&amp;utm_medium="&amp;C22&amp;"&amp;utm_campaign="&amp;D22&amp;"&amp;utm_content="&amp;E22)</f>
        <v/>
      </c>
    </row>
    <row r="23">
      <c r="F23" s="15">
        <f>IF(A23="","",A23&amp;IF(ISNUMBER(SEARCH("?",A23)),"&amp;","?")&amp;"utm_source="&amp;B23&amp;"&amp;utm_medium="&amp;C23&amp;"&amp;utm_campaign="&amp;D23&amp;"&amp;utm_content="&amp;E23)</f>
        <v/>
      </c>
    </row>
    <row r="24">
      <c r="F24" s="15">
        <f>IF(A24="","",A24&amp;IF(ISNUMBER(SEARCH("?",A24)),"&amp;","?")&amp;"utm_source="&amp;B24&amp;"&amp;utm_medium="&amp;C24&amp;"&amp;utm_campaign="&amp;D24&amp;"&amp;utm_content="&amp;E24)</f>
        <v/>
      </c>
    </row>
    <row r="25">
      <c r="F25" s="15">
        <f>IF(A25="","",A25&amp;IF(ISNUMBER(SEARCH("?",A25)),"&amp;","?")&amp;"utm_source="&amp;B25&amp;"&amp;utm_medium="&amp;C25&amp;"&amp;utm_campaign="&amp;D25&amp;"&amp;utm_content="&amp;E25)</f>
        <v/>
      </c>
    </row>
    <row r="26">
      <c r="F26" s="15">
        <f>IF(A26="","",A26&amp;IF(ISNUMBER(SEARCH("?",A26)),"&amp;","?")&amp;"utm_source="&amp;B26&amp;"&amp;utm_medium="&amp;C26&amp;"&amp;utm_campaign="&amp;D26&amp;"&amp;utm_content="&amp;E26)</f>
        <v/>
      </c>
    </row>
    <row r="27">
      <c r="F27" s="15">
        <f>IF(A27="","",A27&amp;IF(ISNUMBER(SEARCH("?",A27)),"&amp;","?")&amp;"utm_source="&amp;B27&amp;"&amp;utm_medium="&amp;C27&amp;"&amp;utm_campaign="&amp;D27&amp;"&amp;utm_content="&amp;E27)</f>
        <v/>
      </c>
    </row>
    <row r="28">
      <c r="F28" s="15">
        <f>IF(A28="","",A28&amp;IF(ISNUMBER(SEARCH("?",A28)),"&amp;","?")&amp;"utm_source="&amp;B28&amp;"&amp;utm_medium="&amp;C28&amp;"&amp;utm_campaign="&amp;D28&amp;"&amp;utm_content="&amp;E28)</f>
        <v/>
      </c>
    </row>
    <row r="29">
      <c r="F29" s="15">
        <f>IF(A29="","",A29&amp;IF(ISNUMBER(SEARCH("?",A29)),"&amp;","?")&amp;"utm_source="&amp;B29&amp;"&amp;utm_medium="&amp;C29&amp;"&amp;utm_campaign="&amp;D29&amp;"&amp;utm_content="&amp;E29)</f>
        <v/>
      </c>
    </row>
    <row r="30">
      <c r="F30" s="15">
        <f>IF(A30="","",A30&amp;IF(ISNUMBER(SEARCH("?",A30)),"&amp;","?")&amp;"utm_source="&amp;B30&amp;"&amp;utm_medium="&amp;C30&amp;"&amp;utm_campaign="&amp;D30&amp;"&amp;utm_content="&amp;E30)</f>
        <v/>
      </c>
    </row>
    <row r="31">
      <c r="F31" s="15">
        <f>IF(A31="","",A31&amp;IF(ISNUMBER(SEARCH("?",A31)),"&amp;","?")&amp;"utm_source="&amp;B31&amp;"&amp;utm_medium="&amp;C31&amp;"&amp;utm_campaign="&amp;D31&amp;"&amp;utm_content="&amp;E31)</f>
        <v/>
      </c>
    </row>
    <row r="32">
      <c r="F32" s="15">
        <f>IF(A32="","",A32&amp;IF(ISNUMBER(SEARCH("?",A32)),"&amp;","?")&amp;"utm_source="&amp;B32&amp;"&amp;utm_medium="&amp;C32&amp;"&amp;utm_campaign="&amp;D32&amp;"&amp;utm_content="&amp;E32)</f>
        <v/>
      </c>
    </row>
    <row r="33">
      <c r="F33" s="15">
        <f>IF(A33="","",A33&amp;IF(ISNUMBER(SEARCH("?",A33)),"&amp;","?")&amp;"utm_source="&amp;B33&amp;"&amp;utm_medium="&amp;C33&amp;"&amp;utm_campaign="&amp;D33&amp;"&amp;utm_content="&amp;E33)</f>
        <v/>
      </c>
    </row>
    <row r="34">
      <c r="F34" s="15">
        <f>IF(A34="","",A34&amp;IF(ISNUMBER(SEARCH("?",A34)),"&amp;","?")&amp;"utm_source="&amp;B34&amp;"&amp;utm_medium="&amp;C34&amp;"&amp;utm_campaign="&amp;D34&amp;"&amp;utm_content="&amp;E34)</f>
        <v/>
      </c>
    </row>
    <row r="35">
      <c r="F35" s="15">
        <f>IF(A35="","",A35&amp;IF(ISNUMBER(SEARCH("?",A35)),"&amp;","?")&amp;"utm_source="&amp;B35&amp;"&amp;utm_medium="&amp;C35&amp;"&amp;utm_campaign="&amp;D35&amp;"&amp;utm_content="&amp;E35)</f>
        <v/>
      </c>
    </row>
    <row r="36">
      <c r="F36" s="15">
        <f>IF(A36="","",A36&amp;IF(ISNUMBER(SEARCH("?",A36)),"&amp;","?")&amp;"utm_source="&amp;B36&amp;"&amp;utm_medium="&amp;C36&amp;"&amp;utm_campaign="&amp;D36&amp;"&amp;utm_content="&amp;E36)</f>
        <v/>
      </c>
    </row>
    <row r="37">
      <c r="F37" s="15">
        <f>IF(A37="","",A37&amp;IF(ISNUMBER(SEARCH("?",A37)),"&amp;","?")&amp;"utm_source="&amp;B37&amp;"&amp;utm_medium="&amp;C37&amp;"&amp;utm_campaign="&amp;D37&amp;"&amp;utm_content="&amp;E37)</f>
        <v/>
      </c>
    </row>
    <row r="38">
      <c r="F38" s="15">
        <f>IF(A38="","",A38&amp;IF(ISNUMBER(SEARCH("?",A38)),"&amp;","?")&amp;"utm_source="&amp;B38&amp;"&amp;utm_medium="&amp;C38&amp;"&amp;utm_campaign="&amp;D38&amp;"&amp;utm_content="&amp;E38)</f>
        <v/>
      </c>
    </row>
    <row r="39">
      <c r="F39" s="15">
        <f>IF(A39="","",A39&amp;IF(ISNUMBER(SEARCH("?",A39)),"&amp;","?")&amp;"utm_source="&amp;B39&amp;"&amp;utm_medium="&amp;C39&amp;"&amp;utm_campaign="&amp;D39&amp;"&amp;utm_content="&amp;E39)</f>
        <v/>
      </c>
    </row>
    <row r="40">
      <c r="F40" s="15">
        <f>IF(A40="","",A40&amp;IF(ISNUMBER(SEARCH("?",A40)),"&amp;","?")&amp;"utm_source="&amp;B40&amp;"&amp;utm_medium="&amp;C40&amp;"&amp;utm_campaign="&amp;D40&amp;"&amp;utm_content="&amp;E40)</f>
        <v/>
      </c>
    </row>
    <row r="41">
      <c r="F41" s="15">
        <f>IF(A41="","",A41&amp;IF(ISNUMBER(SEARCH("?",A41)),"&amp;","?")&amp;"utm_source="&amp;B41&amp;"&amp;utm_medium="&amp;C41&amp;"&amp;utm_campaign="&amp;D41&amp;"&amp;utm_content="&amp;E41)</f>
        <v/>
      </c>
    </row>
    <row r="42">
      <c r="F42" s="15">
        <f>IF(A42="","",A42&amp;IF(ISNUMBER(SEARCH("?",A42)),"&amp;","?")&amp;"utm_source="&amp;B42&amp;"&amp;utm_medium="&amp;C42&amp;"&amp;utm_campaign="&amp;D42&amp;"&amp;utm_content="&amp;E42)</f>
        <v/>
      </c>
    </row>
    <row r="43">
      <c r="F43" s="15">
        <f>IF(A43="","",A43&amp;IF(ISNUMBER(SEARCH("?",A43)),"&amp;","?")&amp;"utm_source="&amp;B43&amp;"&amp;utm_medium="&amp;C43&amp;"&amp;utm_campaign="&amp;D43&amp;"&amp;utm_content="&amp;E43)</f>
        <v/>
      </c>
    </row>
    <row r="44">
      <c r="F44" s="15">
        <f>IF(A44="","",A44&amp;IF(ISNUMBER(SEARCH("?",A44)),"&amp;","?")&amp;"utm_source="&amp;B44&amp;"&amp;utm_medium="&amp;C44&amp;"&amp;utm_campaign="&amp;D44&amp;"&amp;utm_content="&amp;E44)</f>
        <v/>
      </c>
    </row>
    <row r="45">
      <c r="F45" s="15">
        <f>IF(A45="","",A45&amp;IF(ISNUMBER(SEARCH("?",A45)),"&amp;","?")&amp;"utm_source="&amp;B45&amp;"&amp;utm_medium="&amp;C45&amp;"&amp;utm_campaign="&amp;D45&amp;"&amp;utm_content="&amp;E45)</f>
        <v/>
      </c>
    </row>
    <row r="46">
      <c r="F46" s="15">
        <f>IF(A46="","",A46&amp;IF(ISNUMBER(SEARCH("?",A46)),"&amp;","?")&amp;"utm_source="&amp;B46&amp;"&amp;utm_medium="&amp;C46&amp;"&amp;utm_campaign="&amp;D46&amp;"&amp;utm_content="&amp;E46)</f>
        <v/>
      </c>
    </row>
    <row r="47">
      <c r="F47" s="15">
        <f>IF(A47="","",A47&amp;IF(ISNUMBER(SEARCH("?",A47)),"&amp;","?")&amp;"utm_source="&amp;B47&amp;"&amp;utm_medium="&amp;C47&amp;"&amp;utm_campaign="&amp;D47&amp;"&amp;utm_content="&amp;E47)</f>
        <v/>
      </c>
    </row>
    <row r="48">
      <c r="F48" s="15">
        <f>IF(A48="","",A48&amp;IF(ISNUMBER(SEARCH("?",A48)),"&amp;","?")&amp;"utm_source="&amp;B48&amp;"&amp;utm_medium="&amp;C48&amp;"&amp;utm_campaign="&amp;D48&amp;"&amp;utm_content="&amp;E48)</f>
        <v/>
      </c>
    </row>
    <row r="49">
      <c r="F49" s="15">
        <f>IF(A49="","",A49&amp;IF(ISNUMBER(SEARCH("?",A49)),"&amp;","?")&amp;"utm_source="&amp;B49&amp;"&amp;utm_medium="&amp;C49&amp;"&amp;utm_campaign="&amp;D49&amp;"&amp;utm_content="&amp;E49)</f>
        <v/>
      </c>
    </row>
    <row r="50">
      <c r="F50" s="15">
        <f>IF(A50="","",A50&amp;IF(ISNUMBER(SEARCH("?",A50)),"&amp;","?")&amp;"utm_source="&amp;B50&amp;"&amp;utm_medium="&amp;C50&amp;"&amp;utm_campaign="&amp;D50&amp;"&amp;utm_content="&amp;E50)</f>
        <v/>
      </c>
    </row>
    <row r="51">
      <c r="F51" s="15">
        <f>IF(A51="","",A51&amp;IF(ISNUMBER(SEARCH("?",A51)),"&amp;","?")&amp;"utm_source="&amp;B51&amp;"&amp;utm_medium="&amp;C51&amp;"&amp;utm_campaign="&amp;D51&amp;"&amp;utm_content="&amp;E51)</f>
        <v/>
      </c>
    </row>
    <row r="52">
      <c r="F52" s="15">
        <f>IF(A52="","",A52&amp;IF(ISNUMBER(SEARCH("?",A52)),"&amp;","?")&amp;"utm_source="&amp;B52&amp;"&amp;utm_medium="&amp;C52&amp;"&amp;utm_campaign="&amp;D52&amp;"&amp;utm_content="&amp;E52)</f>
        <v/>
      </c>
    </row>
    <row r="53">
      <c r="F53" s="15">
        <f>IF(A53="","",A53&amp;IF(ISNUMBER(SEARCH("?",A53)),"&amp;","?")&amp;"utm_source="&amp;B53&amp;"&amp;utm_medium="&amp;C53&amp;"&amp;utm_campaign="&amp;D53&amp;"&amp;utm_content="&amp;E53)</f>
        <v/>
      </c>
    </row>
    <row r="54">
      <c r="F54" s="15">
        <f>IF(A54="","",A54&amp;IF(ISNUMBER(SEARCH("?",A54)),"&amp;","?")&amp;"utm_source="&amp;B54&amp;"&amp;utm_medium="&amp;C54&amp;"&amp;utm_campaign="&amp;D54&amp;"&amp;utm_content="&amp;E54)</f>
        <v/>
      </c>
    </row>
    <row r="55">
      <c r="F55" s="15">
        <f>IF(A55="","",A55&amp;IF(ISNUMBER(SEARCH("?",A55)),"&amp;","?")&amp;"utm_source="&amp;B55&amp;"&amp;utm_medium="&amp;C55&amp;"&amp;utm_campaign="&amp;D55&amp;"&amp;utm_content="&amp;E55)</f>
        <v/>
      </c>
    </row>
    <row r="56">
      <c r="F56" s="15">
        <f>IF(A56="","",A56&amp;IF(ISNUMBER(SEARCH("?",A56)),"&amp;","?")&amp;"utm_source="&amp;B56&amp;"&amp;utm_medium="&amp;C56&amp;"&amp;utm_campaign="&amp;D56&amp;"&amp;utm_content="&amp;E56)</f>
        <v/>
      </c>
    </row>
    <row r="57">
      <c r="F57" s="15">
        <f>IF(A57="","",A57&amp;IF(ISNUMBER(SEARCH("?",A57)),"&amp;","?")&amp;"utm_source="&amp;B57&amp;"&amp;utm_medium="&amp;C57&amp;"&amp;utm_campaign="&amp;D57&amp;"&amp;utm_content="&amp;E57)</f>
        <v/>
      </c>
    </row>
    <row r="58">
      <c r="F58" s="15">
        <f>IF(A58="","",A58&amp;IF(ISNUMBER(SEARCH("?",A58)),"&amp;","?")&amp;"utm_source="&amp;B58&amp;"&amp;utm_medium="&amp;C58&amp;"&amp;utm_campaign="&amp;D58&amp;"&amp;utm_content="&amp;E58)</f>
        <v/>
      </c>
    </row>
    <row r="59">
      <c r="F59" s="15">
        <f>IF(A59="","",A59&amp;IF(ISNUMBER(SEARCH("?",A59)),"&amp;","?")&amp;"utm_source="&amp;B59&amp;"&amp;utm_medium="&amp;C59&amp;"&amp;utm_campaign="&amp;D59&amp;"&amp;utm_content="&amp;E59)</f>
        <v/>
      </c>
    </row>
    <row r="60">
      <c r="F60" s="15">
        <f>IF(A60="","",A60&amp;IF(ISNUMBER(SEARCH("?",A60)),"&amp;","?")&amp;"utm_source="&amp;B60&amp;"&amp;utm_medium="&amp;C60&amp;"&amp;utm_campaign="&amp;D60&amp;"&amp;utm_content="&amp;E60)</f>
        <v/>
      </c>
    </row>
    <row r="61">
      <c r="F61" s="15">
        <f>IF(A61="","",A61&amp;IF(ISNUMBER(SEARCH("?",A61)),"&amp;","?")&amp;"utm_source="&amp;B61&amp;"&amp;utm_medium="&amp;C61&amp;"&amp;utm_campaign="&amp;D61&amp;"&amp;utm_content="&amp;E61)</f>
        <v/>
      </c>
    </row>
    <row r="62">
      <c r="F62" s="15">
        <f>IF(A62="","",A62&amp;IF(ISNUMBER(SEARCH("?",A62)),"&amp;","?")&amp;"utm_source="&amp;B62&amp;"&amp;utm_medium="&amp;C62&amp;"&amp;utm_campaign="&amp;D62&amp;"&amp;utm_content="&amp;E62)</f>
        <v/>
      </c>
    </row>
    <row r="63">
      <c r="F63" s="15">
        <f>IF(A63="","",A63&amp;IF(ISNUMBER(SEARCH("?",A63)),"&amp;","?")&amp;"utm_source="&amp;B63&amp;"&amp;utm_medium="&amp;C63&amp;"&amp;utm_campaign="&amp;D63&amp;"&amp;utm_content="&amp;E63)</f>
        <v/>
      </c>
    </row>
    <row r="64">
      <c r="F64" s="15">
        <f>IF(A64="","",A64&amp;IF(ISNUMBER(SEARCH("?",A64)),"&amp;","?")&amp;"utm_source="&amp;B64&amp;"&amp;utm_medium="&amp;C64&amp;"&amp;utm_campaign="&amp;D64&amp;"&amp;utm_content="&amp;E64)</f>
        <v/>
      </c>
    </row>
    <row r="65">
      <c r="F65" s="15">
        <f>IF(A65="","",A65&amp;IF(ISNUMBER(SEARCH("?",A65)),"&amp;","?")&amp;"utm_source="&amp;B65&amp;"&amp;utm_medium="&amp;C65&amp;"&amp;utm_campaign="&amp;D65&amp;"&amp;utm_content="&amp;E65)</f>
        <v/>
      </c>
    </row>
    <row r="66">
      <c r="F66" s="15">
        <f>IF(A66="","",A66&amp;IF(ISNUMBER(SEARCH("?",A66)),"&amp;","?")&amp;"utm_source="&amp;B66&amp;"&amp;utm_medium="&amp;C66&amp;"&amp;utm_campaign="&amp;D66&amp;"&amp;utm_content="&amp;E66)</f>
        <v/>
      </c>
    </row>
    <row r="67">
      <c r="F67" s="15">
        <f>IF(A67="","",A67&amp;IF(ISNUMBER(SEARCH("?",A67)),"&amp;","?")&amp;"utm_source="&amp;B67&amp;"&amp;utm_medium="&amp;C67&amp;"&amp;utm_campaign="&amp;D67&amp;"&amp;utm_content="&amp;E67)</f>
        <v/>
      </c>
    </row>
    <row r="68">
      <c r="F68" s="15">
        <f>IF(A68="","",A68&amp;IF(ISNUMBER(SEARCH("?",A68)),"&amp;","?")&amp;"utm_source="&amp;B68&amp;"&amp;utm_medium="&amp;C68&amp;"&amp;utm_campaign="&amp;D68&amp;"&amp;utm_content="&amp;E68)</f>
        <v/>
      </c>
    </row>
    <row r="69">
      <c r="F69" s="15">
        <f>IF(A69="","",A69&amp;IF(ISNUMBER(SEARCH("?",A69)),"&amp;","?")&amp;"utm_source="&amp;B69&amp;"&amp;utm_medium="&amp;C69&amp;"&amp;utm_campaign="&amp;D69&amp;"&amp;utm_content="&amp;E69)</f>
        <v/>
      </c>
    </row>
    <row r="70">
      <c r="F70" s="15">
        <f>IF(A70="","",A70&amp;IF(ISNUMBER(SEARCH("?",A70)),"&amp;","?")&amp;"utm_source="&amp;B70&amp;"&amp;utm_medium="&amp;C70&amp;"&amp;utm_campaign="&amp;D70&amp;"&amp;utm_content="&amp;E70)</f>
        <v/>
      </c>
    </row>
    <row r="71">
      <c r="F71" s="15">
        <f>IF(A71="","",A71&amp;IF(ISNUMBER(SEARCH("?",A71)),"&amp;","?")&amp;"utm_source="&amp;B71&amp;"&amp;utm_medium="&amp;C71&amp;"&amp;utm_campaign="&amp;D71&amp;"&amp;utm_content="&amp;E71)</f>
        <v/>
      </c>
    </row>
    <row r="72">
      <c r="F72" s="15">
        <f>IF(A72="","",A72&amp;IF(ISNUMBER(SEARCH("?",A72)),"&amp;","?")&amp;"utm_source="&amp;B72&amp;"&amp;utm_medium="&amp;C72&amp;"&amp;utm_campaign="&amp;D72&amp;"&amp;utm_content="&amp;E72)</f>
        <v/>
      </c>
    </row>
    <row r="73">
      <c r="F73" s="15">
        <f>IF(A73="","",A73&amp;IF(ISNUMBER(SEARCH("?",A73)),"&amp;","?")&amp;"utm_source="&amp;B73&amp;"&amp;utm_medium="&amp;C73&amp;"&amp;utm_campaign="&amp;D73&amp;"&amp;utm_content="&amp;E73)</f>
        <v/>
      </c>
    </row>
    <row r="74">
      <c r="F74" s="15">
        <f>IF(A74="","",A74&amp;IF(ISNUMBER(SEARCH("?",A74)),"&amp;","?")&amp;"utm_source="&amp;B74&amp;"&amp;utm_medium="&amp;C74&amp;"&amp;utm_campaign="&amp;D74&amp;"&amp;utm_content="&amp;E74)</f>
        <v/>
      </c>
    </row>
    <row r="75">
      <c r="F75" s="15">
        <f>IF(A75="","",A75&amp;IF(ISNUMBER(SEARCH("?",A75)),"&amp;","?")&amp;"utm_source="&amp;B75&amp;"&amp;utm_medium="&amp;C75&amp;"&amp;utm_campaign="&amp;D75&amp;"&amp;utm_content="&amp;E75)</f>
        <v/>
      </c>
    </row>
    <row r="76">
      <c r="F76" s="15">
        <f>IF(A76="","",A76&amp;IF(ISNUMBER(SEARCH("?",A76)),"&amp;","?")&amp;"utm_source="&amp;B76&amp;"&amp;utm_medium="&amp;C76&amp;"&amp;utm_campaign="&amp;D76&amp;"&amp;utm_content="&amp;E76)</f>
        <v/>
      </c>
    </row>
    <row r="77">
      <c r="F77" s="15">
        <f>IF(A77="","",A77&amp;IF(ISNUMBER(SEARCH("?",A77)),"&amp;","?")&amp;"utm_source="&amp;B77&amp;"&amp;utm_medium="&amp;C77&amp;"&amp;utm_campaign="&amp;D77&amp;"&amp;utm_content="&amp;E77)</f>
        <v/>
      </c>
    </row>
    <row r="78">
      <c r="F78" s="15">
        <f>IF(A78="","",A78&amp;IF(ISNUMBER(SEARCH("?",A78)),"&amp;","?")&amp;"utm_source="&amp;B78&amp;"&amp;utm_medium="&amp;C78&amp;"&amp;utm_campaign="&amp;D78&amp;"&amp;utm_content="&amp;E78)</f>
        <v/>
      </c>
    </row>
    <row r="79">
      <c r="F79" s="15">
        <f>IF(A79="","",A79&amp;IF(ISNUMBER(SEARCH("?",A79)),"&amp;","?")&amp;"utm_source="&amp;B79&amp;"&amp;utm_medium="&amp;C79&amp;"&amp;utm_campaign="&amp;D79&amp;"&amp;utm_content="&amp;E79)</f>
        <v/>
      </c>
    </row>
    <row r="80">
      <c r="F80" s="15">
        <f>IF(A80="","",A80&amp;IF(ISNUMBER(SEARCH("?",A80)),"&amp;","?")&amp;"utm_source="&amp;B80&amp;"&amp;utm_medium="&amp;C80&amp;"&amp;utm_campaign="&amp;D80&amp;"&amp;utm_content="&amp;E80)</f>
        <v/>
      </c>
    </row>
    <row r="81">
      <c r="F81" s="15">
        <f>IF(A81="","",A81&amp;IF(ISNUMBER(SEARCH("?",A81)),"&amp;","?")&amp;"utm_source="&amp;B81&amp;"&amp;utm_medium="&amp;C81&amp;"&amp;utm_campaign="&amp;D81&amp;"&amp;utm_content="&amp;E81)</f>
        <v/>
      </c>
    </row>
    <row r="82">
      <c r="F82" s="15">
        <f>IF(A82="","",A82&amp;IF(ISNUMBER(SEARCH("?",A82)),"&amp;","?")&amp;"utm_source="&amp;B82&amp;"&amp;utm_medium="&amp;C82&amp;"&amp;utm_campaign="&amp;D82&amp;"&amp;utm_content="&amp;E82)</f>
        <v/>
      </c>
    </row>
    <row r="83">
      <c r="F83" s="15">
        <f>IF(A83="","",A83&amp;IF(ISNUMBER(SEARCH("?",A83)),"&amp;","?")&amp;"utm_source="&amp;B83&amp;"&amp;utm_medium="&amp;C83&amp;"&amp;utm_campaign="&amp;D83&amp;"&amp;utm_content="&amp;E83)</f>
        <v/>
      </c>
    </row>
    <row r="84">
      <c r="F84" s="15">
        <f>IF(A84="","",A84&amp;IF(ISNUMBER(SEARCH("?",A84)),"&amp;","?")&amp;"utm_source="&amp;B84&amp;"&amp;utm_medium="&amp;C84&amp;"&amp;utm_campaign="&amp;D84&amp;"&amp;utm_content="&amp;E84)</f>
        <v/>
      </c>
    </row>
    <row r="85">
      <c r="F85" s="15">
        <f>IF(A85="","",A85&amp;IF(ISNUMBER(SEARCH("?",A85)),"&amp;","?")&amp;"utm_source="&amp;B85&amp;"&amp;utm_medium="&amp;C85&amp;"&amp;utm_campaign="&amp;D85&amp;"&amp;utm_content="&amp;E85)</f>
        <v/>
      </c>
    </row>
    <row r="86">
      <c r="F86" s="15">
        <f>IF(A86="","",A86&amp;IF(ISNUMBER(SEARCH("?",A86)),"&amp;","?")&amp;"utm_source="&amp;B86&amp;"&amp;utm_medium="&amp;C86&amp;"&amp;utm_campaign="&amp;D86&amp;"&amp;utm_content="&amp;E86)</f>
        <v/>
      </c>
    </row>
    <row r="87">
      <c r="F87" s="15">
        <f>IF(A87="","",A87&amp;IF(ISNUMBER(SEARCH("?",A87)),"&amp;","?")&amp;"utm_source="&amp;B87&amp;"&amp;utm_medium="&amp;C87&amp;"&amp;utm_campaign="&amp;D87&amp;"&amp;utm_content="&amp;E87)</f>
        <v/>
      </c>
    </row>
    <row r="88">
      <c r="F88" s="15">
        <f>IF(A88="","",A88&amp;IF(ISNUMBER(SEARCH("?",A88)),"&amp;","?")&amp;"utm_source="&amp;B88&amp;"&amp;utm_medium="&amp;C88&amp;"&amp;utm_campaign="&amp;D88&amp;"&amp;utm_content="&amp;E88)</f>
        <v/>
      </c>
    </row>
    <row r="89">
      <c r="F89" s="15">
        <f>IF(A89="","",A89&amp;IF(ISNUMBER(SEARCH("?",A89)),"&amp;","?")&amp;"utm_source="&amp;B89&amp;"&amp;utm_medium="&amp;C89&amp;"&amp;utm_campaign="&amp;D89&amp;"&amp;utm_content="&amp;E89)</f>
        <v/>
      </c>
    </row>
    <row r="90">
      <c r="F90" s="15">
        <f>IF(A90="","",A90&amp;IF(ISNUMBER(SEARCH("?",A90)),"&amp;","?")&amp;"utm_source="&amp;B90&amp;"&amp;utm_medium="&amp;C90&amp;"&amp;utm_campaign="&amp;D90&amp;"&amp;utm_content="&amp;E90)</f>
        <v/>
      </c>
    </row>
    <row r="91">
      <c r="F91" s="15">
        <f>IF(A91="","",A91&amp;IF(ISNUMBER(SEARCH("?",A91)),"&amp;","?")&amp;"utm_source="&amp;B91&amp;"&amp;utm_medium="&amp;C91&amp;"&amp;utm_campaign="&amp;D91&amp;"&amp;utm_content="&amp;E91)</f>
        <v/>
      </c>
    </row>
    <row r="92">
      <c r="F92" s="15">
        <f>IF(A92="","",A92&amp;IF(ISNUMBER(SEARCH("?",A92)),"&amp;","?")&amp;"utm_source="&amp;B92&amp;"&amp;utm_medium="&amp;C92&amp;"&amp;utm_campaign="&amp;D92&amp;"&amp;utm_content="&amp;E92)</f>
        <v/>
      </c>
    </row>
    <row r="93">
      <c r="F93" s="15">
        <f>IF(A93="","",A93&amp;IF(ISNUMBER(SEARCH("?",A93)),"&amp;","?")&amp;"utm_source="&amp;B93&amp;"&amp;utm_medium="&amp;C93&amp;"&amp;utm_campaign="&amp;D93&amp;"&amp;utm_content="&amp;E93)</f>
        <v/>
      </c>
    </row>
    <row r="94">
      <c r="F94" s="15">
        <f>IF(A94="","",A94&amp;IF(ISNUMBER(SEARCH("?",A94)),"&amp;","?")&amp;"utm_source="&amp;B94&amp;"&amp;utm_medium="&amp;C94&amp;"&amp;utm_campaign="&amp;D94&amp;"&amp;utm_content="&amp;E94)</f>
        <v/>
      </c>
    </row>
    <row r="95">
      <c r="F95" s="15">
        <f>IF(A95="","",A95&amp;IF(ISNUMBER(SEARCH("?",A95)),"&amp;","?")&amp;"utm_source="&amp;B95&amp;"&amp;utm_medium="&amp;C95&amp;"&amp;utm_campaign="&amp;D95&amp;"&amp;utm_content="&amp;E95)</f>
        <v/>
      </c>
    </row>
    <row r="96">
      <c r="F96" s="15">
        <f>IF(A96="","",A96&amp;IF(ISNUMBER(SEARCH("?",A96)),"&amp;","?")&amp;"utm_source="&amp;B96&amp;"&amp;utm_medium="&amp;C96&amp;"&amp;utm_campaign="&amp;D96&amp;"&amp;utm_content="&amp;E96)</f>
        <v/>
      </c>
    </row>
    <row r="97">
      <c r="F97" s="15">
        <f>IF(A97="","",A97&amp;IF(ISNUMBER(SEARCH("?",A97)),"&amp;","?")&amp;"utm_source="&amp;B97&amp;"&amp;utm_medium="&amp;C97&amp;"&amp;utm_campaign="&amp;D97&amp;"&amp;utm_content="&amp;E97)</f>
        <v/>
      </c>
    </row>
    <row r="98">
      <c r="F98" s="15">
        <f>IF(A98="","",A98&amp;IF(ISNUMBER(SEARCH("?",A98)),"&amp;","?")&amp;"utm_source="&amp;B98&amp;"&amp;utm_medium="&amp;C98&amp;"&amp;utm_campaign="&amp;D98&amp;"&amp;utm_content="&amp;E98)</f>
        <v/>
      </c>
    </row>
    <row r="99">
      <c r="F99" s="15">
        <f>IF(A99="","",A99&amp;IF(ISNUMBER(SEARCH("?",A99)),"&amp;","?")&amp;"utm_source="&amp;B99&amp;"&amp;utm_medium="&amp;C99&amp;"&amp;utm_campaign="&amp;D99&amp;"&amp;utm_content="&amp;E99)</f>
        <v/>
      </c>
    </row>
    <row r="100">
      <c r="F100" s="15">
        <f>IF(A100="","",A100&amp;IF(ISNUMBER(SEARCH("?",A100)),"&amp;","?")&amp;"utm_source="&amp;B100&amp;"&amp;utm_medium="&amp;C100&amp;"&amp;utm_campaign="&amp;D100&amp;"&amp;utm_content="&amp;E100)</f>
        <v/>
      </c>
    </row>
    <row r="101">
      <c r="F101" s="15">
        <f>IF(A101="","",A101&amp;IF(ISNUMBER(SEARCH("?",A101)),"&amp;","?")&amp;"utm_source="&amp;B101&amp;"&amp;utm_medium="&amp;C101&amp;"&amp;utm_campaign="&amp;D101&amp;"&amp;utm_content="&amp;E101)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2026-10-11T16:39:44Z</dcterms:created>
  <dcterms:modified xmlns:dcterms="http://purl.org/dc/terms/" xmlns:xsi="http://www.w3.org/2001/XMLSchema-instance" xsi:type="dcterms:W3CDTF">2026-10-11T16:39:44Z</dcterms:modified>
</cp:coreProperties>
</file>