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ily tracker" sheetId="2" state="visible" r:id="rId2"/>
    <sheet xmlns:r="http://schemas.openxmlformats.org/officeDocument/2006/relationships" name="Sprint goals" sheetId="3" state="visible" r:id="rId3"/>
    <sheet xmlns:r="http://schemas.openxmlformats.org/officeDocument/2006/relationships" name="Metric sources" sheetId="4" state="visible" r:id="rId4"/>
    <sheet xmlns:r="http://schemas.openxmlformats.org/officeDocument/2006/relationships" name="Decision rules" sheetId="5" state="visible" r:id="rId5"/>
    <sheet xmlns:r="http://schemas.openxmlformats.org/officeDocument/2006/relationships" name="Unit econo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"/>
    <numFmt numFmtId="166" formatCode="0.0%"/>
    <numFmt numFmtId="167" formatCode="$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  <xf numFmtId="166" fontId="0" fillId="3" borderId="1" pivotButton="0" quotePrefix="0" xfId="0"/>
    <xf numFmtId="166" fontId="0" fillId="3" borderId="0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7" fontId="0" fillId="2" borderId="1" pivotButton="0" quotePrefix="0" xfId="0"/>
    <xf numFmtId="9" fontId="0" fillId="2" borderId="1" pivotButton="0" quotePrefix="0" xfId="0"/>
    <xf numFmtId="166" fontId="0" fillId="2" borderId="1" pivotButton="0" quotePrefix="0" xfId="0"/>
    <xf numFmtId="0" fontId="2" fillId="0" borderId="1" pivotButton="0" quotePrefix="0" xfId="0"/>
    <xf numFmtId="167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dash</author>
  </authors>
  <commentList>
    <comment ref="I1" authorId="0" shapeId="0">
      <text>
        <t>Instagram: Professional dashboard &gt; link taps. TikTok: needs a Business account (free) for bio link clicks; otherwise NA.</t>
      </text>
    </comment>
    <comment ref="K1" authorId="0" shapeId="0">
      <text>
        <t>Shopify Analytics &gt; Reports &gt; Sessions by referrer (social). UTM links make this reliable.</t>
      </text>
    </comment>
    <comment ref="L1" authorId="0" shapeId="0">
      <text>
        <t>Shopify Analytics &gt; Reports &gt; 'Sessions by landing page' or the conversion funnel. If your plan doesn't show it, type 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SWOLVATION first-sale dashboard</t>
        </is>
      </c>
    </row>
    <row r="2">
      <c r="A2" t="inlineStr"/>
    </row>
    <row r="3">
      <c r="A3" s="2" t="inlineStr">
        <is>
          <t>How to use (10 minutes a day)</t>
        </is>
      </c>
    </row>
    <row r="4">
      <c r="A4" t="inlineStr">
        <is>
          <t>1. Each evening, fill one row in 'Daily tracker' (yellow cells only). Green cells calculate.</t>
        </is>
      </c>
    </row>
    <row r="5">
      <c r="A5" t="inlineStr">
        <is>
          <t>2. If a number isn't available, type NA. Don't guess; grey cells are not available yet with your current setup (see 'Metric sources').</t>
        </is>
      </c>
    </row>
    <row r="6">
      <c r="A6" t="inlineStr">
        <is>
          <t>3. Check 'Decision rules' every 3 days. Change one thing at a time.</t>
        </is>
      </c>
    </row>
    <row r="7">
      <c r="A7" t="inlineStr">
        <is>
          <t>4. Enter your real PODpartner costs in 'Unit economics' (yellow) once you've checked an order invoice.</t>
        </is>
      </c>
    </row>
    <row r="8">
      <c r="A8" t="inlineStr"/>
    </row>
    <row r="9">
      <c r="A9" t="inlineStr">
        <is>
          <t>Goals for the 7-day sprint are goals, not guarantees: 100 followers (combined), 500 site visits, 10 email subscribers, 1 sale.</t>
        </is>
      </c>
    </row>
    <row r="10">
      <c r="A10" t="inlineStr">
        <is>
          <t>Created 11 Oct 2026. Prices: tee $34.99, long sleeve $44.99; shipping $8 standard (verified at checkout).</t>
        </is>
      </c>
    </row>
    <row r="11">
      <c r="A11" t="inlineStr"/>
    </row>
    <row r="12">
      <c r="A12" s="2" t="inlineStr">
        <is>
          <t>Colour key</t>
        </is>
      </c>
    </row>
    <row r="13">
      <c r="A13" s="3" t="inlineStr">
        <is>
          <t>Yellow: You type this</t>
        </is>
      </c>
    </row>
    <row r="14">
      <c r="A14" s="4" t="inlineStr">
        <is>
          <t>Green: Calculated, don't type</t>
        </is>
      </c>
    </row>
    <row r="15">
      <c r="A15" s="5" t="inlineStr">
        <is>
          <t>Grey: Not available yet; see Metric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9" customWidth="1" min="13" max="13"/>
    <col width="10" customWidth="1" min="14" max="14"/>
    <col width="8" customWidth="1" min="15" max="15"/>
    <col width="10" customWidth="1" min="16" max="16"/>
    <col width="9" customWidth="1" min="17" max="17"/>
    <col width="9" customWidth="1" min="18" max="18"/>
    <col width="10" customWidth="1" min="19" max="19"/>
    <col width="9" customWidth="1" min="20" max="20"/>
    <col width="10" customWidth="1" min="21" max="21"/>
    <col width="10" customWidth="1" min="22" max="22"/>
    <col width="9" customWidth="1" min="23" max="23"/>
    <col width="10" customWidth="1" min="24" max="24"/>
    <col width="36" customWidth="1" min="25" max="25"/>
  </cols>
  <sheetData>
    <row r="1" ht="58" customHeight="1">
      <c r="A1" s="6" t="inlineStr">
        <is>
          <t>Day</t>
        </is>
      </c>
      <c r="B1" s="6" t="inlineStr">
        <is>
          <t>Date</t>
        </is>
      </c>
      <c r="C1" s="6" t="inlineStr">
        <is>
          <t>Posts published (TT+IG)</t>
        </is>
      </c>
      <c r="D1" s="6" t="inlineStr">
        <is>
          <t>TikTok followers</t>
        </is>
      </c>
      <c r="E1" s="6" t="inlineStr">
        <is>
          <t>Instagram followers</t>
        </is>
      </c>
      <c r="F1" s="6" t="inlineStr">
        <is>
          <t>Video views (TT+IG, 48h)</t>
        </is>
      </c>
      <c r="G1" s="6" t="inlineStr">
        <is>
          <t>Shares (TT+IG)</t>
        </is>
      </c>
      <c r="H1" s="6" t="inlineStr">
        <is>
          <t>Profile visits (TT+IG)</t>
        </is>
      </c>
      <c r="I1" s="6" t="inlineStr">
        <is>
          <t>Link-in-bio clicks</t>
        </is>
      </c>
      <c r="J1" s="6" t="inlineStr">
        <is>
          <t>Site sessions</t>
        </is>
      </c>
      <c r="K1" s="6" t="inlineStr">
        <is>
          <t>Sessions from social</t>
        </is>
      </c>
      <c r="L1" s="6" t="inlineStr">
        <is>
          <t>Product page views</t>
        </is>
      </c>
      <c r="M1" s="6" t="inlineStr">
        <is>
          <t>Add to carts</t>
        </is>
      </c>
      <c r="N1" s="6" t="inlineStr">
        <is>
          <t>Checkouts reached</t>
        </is>
      </c>
      <c r="O1" s="6" t="inlineStr">
        <is>
          <t>Orders</t>
        </is>
      </c>
      <c r="P1" s="6" t="inlineStr">
        <is>
          <t>Revenue $</t>
        </is>
      </c>
      <c r="Q1" s="6" t="inlineStr">
        <is>
          <t>Email signups</t>
        </is>
      </c>
      <c r="R1" s="6" t="inlineStr">
        <is>
          <t>IRON10 uses</t>
        </is>
      </c>
      <c r="S1" s="6" t="inlineStr">
        <is>
          <t>Outreach sent (approved)</t>
        </is>
      </c>
      <c r="T1" s="6" t="inlineStr">
        <is>
          <t>Creator replies</t>
        </is>
      </c>
      <c r="U1" s="6" t="inlineStr">
        <is>
          <t>Add-to-cart rate</t>
        </is>
      </c>
      <c r="V1" s="6" t="inlineStr">
        <is>
          <t>Checkout→order</t>
        </is>
      </c>
      <c r="W1" s="6" t="inlineStr">
        <is>
          <t>Signup rate</t>
        </is>
      </c>
      <c r="X1" s="6" t="inlineStr">
        <is>
          <t>Conversion rate</t>
        </is>
      </c>
      <c r="Y1" s="6" t="inlineStr">
        <is>
          <t>Notes / what changed</t>
        </is>
      </c>
    </row>
    <row r="2">
      <c r="A2" s="7" t="n">
        <v>1</v>
      </c>
      <c r="B2" s="8" t="n">
        <v>46307</v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10">
        <f>IFERROR(M2/J2,"")</f>
        <v/>
      </c>
      <c r="V2" s="10">
        <f>IFERROR(O2/N2,"")</f>
        <v/>
      </c>
      <c r="W2" s="10">
        <f>IFERROR(Q2/J2,"")</f>
        <v/>
      </c>
      <c r="X2" s="10">
        <f>IFERROR(O2/J2,"")</f>
        <v/>
      </c>
      <c r="Y2" s="9" t="n"/>
    </row>
    <row r="3">
      <c r="A3" s="7" t="n">
        <v>2</v>
      </c>
      <c r="B3" s="8" t="n">
        <v>46308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10">
        <f>IFERROR(M3/J3,"")</f>
        <v/>
      </c>
      <c r="V3" s="10">
        <f>IFERROR(O3/N3,"")</f>
        <v/>
      </c>
      <c r="W3" s="10">
        <f>IFERROR(Q3/J3,"")</f>
        <v/>
      </c>
      <c r="X3" s="10">
        <f>IFERROR(O3/J3,"")</f>
        <v/>
      </c>
      <c r="Y3" s="9" t="n"/>
    </row>
    <row r="4">
      <c r="A4" s="7" t="n">
        <v>3</v>
      </c>
      <c r="B4" s="8" t="n">
        <v>46309</v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>
        <f>IFERROR(M4/J4,"")</f>
        <v/>
      </c>
      <c r="V4" s="10">
        <f>IFERROR(O4/N4,"")</f>
        <v/>
      </c>
      <c r="W4" s="10">
        <f>IFERROR(Q4/J4,"")</f>
        <v/>
      </c>
      <c r="X4" s="10">
        <f>IFERROR(O4/J4,"")</f>
        <v/>
      </c>
      <c r="Y4" s="9" t="n"/>
    </row>
    <row r="5">
      <c r="A5" s="7" t="n">
        <v>4</v>
      </c>
      <c r="B5" s="8" t="n">
        <v>46310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>
        <f>IFERROR(M5/J5,"")</f>
        <v/>
      </c>
      <c r="V5" s="10">
        <f>IFERROR(O5/N5,"")</f>
        <v/>
      </c>
      <c r="W5" s="10">
        <f>IFERROR(Q5/J5,"")</f>
        <v/>
      </c>
      <c r="X5" s="10">
        <f>IFERROR(O5/J5,"")</f>
        <v/>
      </c>
      <c r="Y5" s="9" t="n"/>
    </row>
    <row r="6">
      <c r="A6" s="7" t="n">
        <v>5</v>
      </c>
      <c r="B6" s="8" t="n">
        <v>46311</v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>
        <f>IFERROR(M6/J6,"")</f>
        <v/>
      </c>
      <c r="V6" s="10">
        <f>IFERROR(O6/N6,"")</f>
        <v/>
      </c>
      <c r="W6" s="10">
        <f>IFERROR(Q6/J6,"")</f>
        <v/>
      </c>
      <c r="X6" s="10">
        <f>IFERROR(O6/J6,"")</f>
        <v/>
      </c>
      <c r="Y6" s="9" t="n"/>
    </row>
    <row r="7">
      <c r="A7" s="7" t="n">
        <v>6</v>
      </c>
      <c r="B7" s="8" t="n">
        <v>46312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10">
        <f>IFERROR(M7/J7,"")</f>
        <v/>
      </c>
      <c r="V7" s="10">
        <f>IFERROR(O7/N7,"")</f>
        <v/>
      </c>
      <c r="W7" s="10">
        <f>IFERROR(Q7/J7,"")</f>
        <v/>
      </c>
      <c r="X7" s="10">
        <f>IFERROR(O7/J7,"")</f>
        <v/>
      </c>
      <c r="Y7" s="9" t="n"/>
    </row>
    <row r="8">
      <c r="A8" s="7" t="n">
        <v>7</v>
      </c>
      <c r="B8" s="8" t="n">
        <v>46313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>
        <f>IFERROR(M8/J8,"")</f>
        <v/>
      </c>
      <c r="V8" s="10">
        <f>IFERROR(O8/N8,"")</f>
        <v/>
      </c>
      <c r="W8" s="10">
        <f>IFERROR(Q8/J8,"")</f>
        <v/>
      </c>
      <c r="X8" s="10">
        <f>IFERROR(O8/J8,"")</f>
        <v/>
      </c>
      <c r="Y8" s="9" t="n"/>
    </row>
    <row r="9">
      <c r="A9" s="7" t="n">
        <v>8</v>
      </c>
      <c r="B9" s="8" t="n">
        <v>46314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10">
        <f>IFERROR(M9/J9,"")</f>
        <v/>
      </c>
      <c r="V9" s="10">
        <f>IFERROR(O9/N9,"")</f>
        <v/>
      </c>
      <c r="W9" s="10">
        <f>IFERROR(Q9/J9,"")</f>
        <v/>
      </c>
      <c r="X9" s="10">
        <f>IFERROR(O9/J9,"")</f>
        <v/>
      </c>
      <c r="Y9" s="9" t="n"/>
    </row>
    <row r="10">
      <c r="A10" s="7" t="n">
        <v>9</v>
      </c>
      <c r="B10" s="8" t="n">
        <v>46315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10">
        <f>IFERROR(M10/J10,"")</f>
        <v/>
      </c>
      <c r="V10" s="10">
        <f>IFERROR(O10/N10,"")</f>
        <v/>
      </c>
      <c r="W10" s="10">
        <f>IFERROR(Q10/J10,"")</f>
        <v/>
      </c>
      <c r="X10" s="10">
        <f>IFERROR(O10/J10,"")</f>
        <v/>
      </c>
      <c r="Y10" s="9" t="n"/>
    </row>
    <row r="11">
      <c r="A11" s="7" t="n">
        <v>10</v>
      </c>
      <c r="B11" s="8" t="n">
        <v>46316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>
        <f>IFERROR(M11/J11,"")</f>
        <v/>
      </c>
      <c r="V11" s="10">
        <f>IFERROR(O11/N11,"")</f>
        <v/>
      </c>
      <c r="W11" s="10">
        <f>IFERROR(Q11/J11,"")</f>
        <v/>
      </c>
      <c r="X11" s="10">
        <f>IFERROR(O11/J11,"")</f>
        <v/>
      </c>
      <c r="Y11" s="9" t="n"/>
    </row>
    <row r="12">
      <c r="A12" s="7" t="n">
        <v>11</v>
      </c>
      <c r="B12" s="8" t="n">
        <v>46317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10">
        <f>IFERROR(M12/J12,"")</f>
        <v/>
      </c>
      <c r="V12" s="10">
        <f>IFERROR(O12/N12,"")</f>
        <v/>
      </c>
      <c r="W12" s="10">
        <f>IFERROR(Q12/J12,"")</f>
        <v/>
      </c>
      <c r="X12" s="10">
        <f>IFERROR(O12/J12,"")</f>
        <v/>
      </c>
      <c r="Y12" s="9" t="n"/>
    </row>
    <row r="13">
      <c r="A13" s="7" t="n">
        <v>12</v>
      </c>
      <c r="B13" s="8" t="n">
        <v>46318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10">
        <f>IFERROR(M13/J13,"")</f>
        <v/>
      </c>
      <c r="V13" s="10">
        <f>IFERROR(O13/N13,"")</f>
        <v/>
      </c>
      <c r="W13" s="10">
        <f>IFERROR(Q13/J13,"")</f>
        <v/>
      </c>
      <c r="X13" s="10">
        <f>IFERROR(O13/J13,"")</f>
        <v/>
      </c>
      <c r="Y13" s="9" t="n"/>
    </row>
    <row r="14">
      <c r="A14" s="7" t="n">
        <v>13</v>
      </c>
      <c r="B14" s="8" t="n">
        <v>46319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10">
        <f>IFERROR(M14/J14,"")</f>
        <v/>
      </c>
      <c r="V14" s="10">
        <f>IFERROR(O14/N14,"")</f>
        <v/>
      </c>
      <c r="W14" s="10">
        <f>IFERROR(Q14/J14,"")</f>
        <v/>
      </c>
      <c r="X14" s="10">
        <f>IFERROR(O14/J14,"")</f>
        <v/>
      </c>
      <c r="Y14" s="9" t="n"/>
    </row>
    <row r="15">
      <c r="A15" s="7" t="n">
        <v>14</v>
      </c>
      <c r="B15" s="8" t="n">
        <v>46320</v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0">
        <f>IFERROR(M15/J15,"")</f>
        <v/>
      </c>
      <c r="V15" s="10">
        <f>IFERROR(O15/N15,"")</f>
        <v/>
      </c>
      <c r="W15" s="10">
        <f>IFERROR(Q15/J15,"")</f>
        <v/>
      </c>
      <c r="X15" s="10">
        <f>IFERROR(O15/J15,"")</f>
        <v/>
      </c>
      <c r="Y15" s="9" t="n"/>
    </row>
    <row r="16">
      <c r="A16" s="7" t="n">
        <v>15</v>
      </c>
      <c r="B16" s="8" t="n">
        <v>46321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0">
        <f>IFERROR(M16/J16,"")</f>
        <v/>
      </c>
      <c r="V16" s="10">
        <f>IFERROR(O16/N16,"")</f>
        <v/>
      </c>
      <c r="W16" s="10">
        <f>IFERROR(Q16/J16,"")</f>
        <v/>
      </c>
      <c r="X16" s="10">
        <f>IFERROR(O16/J16,"")</f>
        <v/>
      </c>
      <c r="Y16" s="9" t="n"/>
    </row>
    <row r="17">
      <c r="A17" s="7" t="n">
        <v>16</v>
      </c>
      <c r="B17" s="8" t="n">
        <v>46322</v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10">
        <f>IFERROR(M17/J17,"")</f>
        <v/>
      </c>
      <c r="V17" s="10">
        <f>IFERROR(O17/N17,"")</f>
        <v/>
      </c>
      <c r="W17" s="10">
        <f>IFERROR(Q17/J17,"")</f>
        <v/>
      </c>
      <c r="X17" s="10">
        <f>IFERROR(O17/J17,"")</f>
        <v/>
      </c>
      <c r="Y17" s="9" t="n"/>
    </row>
    <row r="18">
      <c r="A18" s="7" t="n">
        <v>17</v>
      </c>
      <c r="B18" s="8" t="n">
        <v>46323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>
        <f>IFERROR(M18/J18,"")</f>
        <v/>
      </c>
      <c r="V18" s="10">
        <f>IFERROR(O18/N18,"")</f>
        <v/>
      </c>
      <c r="W18" s="10">
        <f>IFERROR(Q18/J18,"")</f>
        <v/>
      </c>
      <c r="X18" s="10">
        <f>IFERROR(O18/J18,"")</f>
        <v/>
      </c>
      <c r="Y18" s="9" t="n"/>
    </row>
    <row r="19">
      <c r="A19" s="7" t="n">
        <v>18</v>
      </c>
      <c r="B19" s="8" t="n">
        <v>46324</v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10">
        <f>IFERROR(M19/J19,"")</f>
        <v/>
      </c>
      <c r="V19" s="10">
        <f>IFERROR(O19/N19,"")</f>
        <v/>
      </c>
      <c r="W19" s="10">
        <f>IFERROR(Q19/J19,"")</f>
        <v/>
      </c>
      <c r="X19" s="10">
        <f>IFERROR(O19/J19,"")</f>
        <v/>
      </c>
      <c r="Y19" s="9" t="n"/>
    </row>
    <row r="20">
      <c r="A20" s="7" t="n">
        <v>19</v>
      </c>
      <c r="B20" s="8" t="n">
        <v>46325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10">
        <f>IFERROR(M20/J20,"")</f>
        <v/>
      </c>
      <c r="V20" s="10">
        <f>IFERROR(O20/N20,"")</f>
        <v/>
      </c>
      <c r="W20" s="10">
        <f>IFERROR(Q20/J20,"")</f>
        <v/>
      </c>
      <c r="X20" s="10">
        <f>IFERROR(O20/J20,"")</f>
        <v/>
      </c>
      <c r="Y20" s="9" t="n"/>
    </row>
    <row r="21">
      <c r="A21" s="7" t="n">
        <v>20</v>
      </c>
      <c r="B21" s="8" t="n">
        <v>46326</v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>
        <f>IFERROR(M21/J21,"")</f>
        <v/>
      </c>
      <c r="V21" s="10">
        <f>IFERROR(O21/N21,"")</f>
        <v/>
      </c>
      <c r="W21" s="10">
        <f>IFERROR(Q21/J21,"")</f>
        <v/>
      </c>
      <c r="X21" s="10">
        <f>IFERROR(O21/J21,"")</f>
        <v/>
      </c>
      <c r="Y21" s="9" t="n"/>
    </row>
    <row r="22">
      <c r="A22" s="7" t="n">
        <v>21</v>
      </c>
      <c r="B22" s="8" t="n">
        <v>46327</v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>
        <f>IFERROR(M22/J22,"")</f>
        <v/>
      </c>
      <c r="V22" s="10">
        <f>IFERROR(O22/N22,"")</f>
        <v/>
      </c>
      <c r="W22" s="10">
        <f>IFERROR(Q22/J22,"")</f>
        <v/>
      </c>
      <c r="X22" s="10">
        <f>IFERROR(O22/J22,"")</f>
        <v/>
      </c>
      <c r="Y22" s="9" t="n"/>
    </row>
    <row r="23">
      <c r="A23" s="7" t="n">
        <v>22</v>
      </c>
      <c r="B23" s="8" t="n">
        <v>46328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>
        <f>IFERROR(M23/J23,"")</f>
        <v/>
      </c>
      <c r="V23" s="10">
        <f>IFERROR(O23/N23,"")</f>
        <v/>
      </c>
      <c r="W23" s="10">
        <f>IFERROR(Q23/J23,"")</f>
        <v/>
      </c>
      <c r="X23" s="10">
        <f>IFERROR(O23/J23,"")</f>
        <v/>
      </c>
      <c r="Y23" s="9" t="n"/>
    </row>
    <row r="24">
      <c r="A24" s="7" t="n">
        <v>23</v>
      </c>
      <c r="B24" s="8" t="n">
        <v>46329</v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>
        <f>IFERROR(M24/J24,"")</f>
        <v/>
      </c>
      <c r="V24" s="10">
        <f>IFERROR(O24/N24,"")</f>
        <v/>
      </c>
      <c r="W24" s="10">
        <f>IFERROR(Q24/J24,"")</f>
        <v/>
      </c>
      <c r="X24" s="10">
        <f>IFERROR(O24/J24,"")</f>
        <v/>
      </c>
      <c r="Y24" s="9" t="n"/>
    </row>
    <row r="25">
      <c r="A25" s="7" t="n">
        <v>24</v>
      </c>
      <c r="B25" s="8" t="n">
        <v>46330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>
        <f>IFERROR(M25/J25,"")</f>
        <v/>
      </c>
      <c r="V25" s="10">
        <f>IFERROR(O25/N25,"")</f>
        <v/>
      </c>
      <c r="W25" s="10">
        <f>IFERROR(Q25/J25,"")</f>
        <v/>
      </c>
      <c r="X25" s="10">
        <f>IFERROR(O25/J25,"")</f>
        <v/>
      </c>
      <c r="Y25" s="9" t="n"/>
    </row>
    <row r="26">
      <c r="A26" s="7" t="n">
        <v>25</v>
      </c>
      <c r="B26" s="8" t="n">
        <v>46331</v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>
        <f>IFERROR(M26/J26,"")</f>
        <v/>
      </c>
      <c r="V26" s="10">
        <f>IFERROR(O26/N26,"")</f>
        <v/>
      </c>
      <c r="W26" s="10">
        <f>IFERROR(Q26/J26,"")</f>
        <v/>
      </c>
      <c r="X26" s="10">
        <f>IFERROR(O26/J26,"")</f>
        <v/>
      </c>
      <c r="Y26" s="9" t="n"/>
    </row>
    <row r="27">
      <c r="A27" s="7" t="n">
        <v>26</v>
      </c>
      <c r="B27" s="8" t="n">
        <v>46332</v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>
        <f>IFERROR(M27/J27,"")</f>
        <v/>
      </c>
      <c r="V27" s="10">
        <f>IFERROR(O27/N27,"")</f>
        <v/>
      </c>
      <c r="W27" s="10">
        <f>IFERROR(Q27/J27,"")</f>
        <v/>
      </c>
      <c r="X27" s="10">
        <f>IFERROR(O27/J27,"")</f>
        <v/>
      </c>
      <c r="Y27" s="9" t="n"/>
    </row>
    <row r="28">
      <c r="A28" s="7" t="n">
        <v>27</v>
      </c>
      <c r="B28" s="8" t="n">
        <v>46333</v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10">
        <f>IFERROR(M28/J28,"")</f>
        <v/>
      </c>
      <c r="V28" s="10">
        <f>IFERROR(O28/N28,"")</f>
        <v/>
      </c>
      <c r="W28" s="10">
        <f>IFERROR(Q28/J28,"")</f>
        <v/>
      </c>
      <c r="X28" s="10">
        <f>IFERROR(O28/J28,"")</f>
        <v/>
      </c>
      <c r="Y28" s="9" t="n"/>
    </row>
    <row r="29">
      <c r="A29" s="7" t="n">
        <v>28</v>
      </c>
      <c r="B29" s="8" t="n">
        <v>46334</v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>
        <f>IFERROR(M29/J29,"")</f>
        <v/>
      </c>
      <c r="V29" s="10">
        <f>IFERROR(O29/N29,"")</f>
        <v/>
      </c>
      <c r="W29" s="10">
        <f>IFERROR(Q29/J29,"")</f>
        <v/>
      </c>
      <c r="X29" s="10">
        <f>IFERROR(O29/J29,"")</f>
        <v/>
      </c>
      <c r="Y29" s="9" t="n"/>
    </row>
    <row r="30">
      <c r="A30" s="7" t="n">
        <v>29</v>
      </c>
      <c r="B30" s="8" t="n">
        <v>46335</v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>
        <f>IFERROR(M30/J30,"")</f>
        <v/>
      </c>
      <c r="V30" s="10">
        <f>IFERROR(O30/N30,"")</f>
        <v/>
      </c>
      <c r="W30" s="10">
        <f>IFERROR(Q30/J30,"")</f>
        <v/>
      </c>
      <c r="X30" s="10">
        <f>IFERROR(O30/J30,"")</f>
        <v/>
      </c>
      <c r="Y30" s="9" t="n"/>
    </row>
    <row r="31">
      <c r="A31" s="7" t="n">
        <v>30</v>
      </c>
      <c r="B31" s="8" t="n">
        <v>46336</v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>
        <f>IFERROR(M31/J31,"")</f>
        <v/>
      </c>
      <c r="V31" s="10">
        <f>IFERROR(O31/N31,"")</f>
        <v/>
      </c>
      <c r="W31" s="10">
        <f>IFERROR(Q31/J31,"")</f>
        <v/>
      </c>
      <c r="X31" s="10">
        <f>IFERROR(O31/J31,"")</f>
        <v/>
      </c>
      <c r="Y31" s="9" t="n"/>
    </row>
    <row r="33">
      <c r="A33" s="2" t="inlineStr">
        <is>
          <t>Totals</t>
        </is>
      </c>
      <c r="C33" s="4">
        <f>SUM(C2:C31)</f>
        <v/>
      </c>
      <c r="F33" s="4">
        <f>SUM(F2:F31)</f>
        <v/>
      </c>
      <c r="G33" s="4">
        <f>SUM(G2:G31)</f>
        <v/>
      </c>
      <c r="H33" s="4">
        <f>SUM(H2:H31)</f>
        <v/>
      </c>
      <c r="I33" s="4">
        <f>SUM(I2:I31)</f>
        <v/>
      </c>
      <c r="J33" s="4">
        <f>SUM(J2:J31)</f>
        <v/>
      </c>
      <c r="K33" s="4">
        <f>SUM(K2:K31)</f>
        <v/>
      </c>
      <c r="L33" s="4">
        <f>SUM(L2:L31)</f>
        <v/>
      </c>
      <c r="M33" s="4">
        <f>SUM(M2:M31)</f>
        <v/>
      </c>
      <c r="N33" s="4">
        <f>SUM(N2:N31)</f>
        <v/>
      </c>
      <c r="O33" s="4">
        <f>SUM(O2:O31)</f>
        <v/>
      </c>
      <c r="P33" s="4">
        <f>SUM(P2:P31)</f>
        <v/>
      </c>
      <c r="Q33" s="4">
        <f>SUM(Q2:Q31)</f>
        <v/>
      </c>
      <c r="R33" s="4">
        <f>SUM(R2:R31)</f>
        <v/>
      </c>
      <c r="S33" s="4">
        <f>SUM(S2:S31)</f>
        <v/>
      </c>
      <c r="T33" s="4">
        <f>SUM(T2:T31)</f>
        <v/>
      </c>
      <c r="U33" s="11">
        <f>IFERROR(M33/J33,"")</f>
        <v/>
      </c>
      <c r="V33" s="11">
        <f>IFERROR(O33/N33,"")</f>
        <v/>
      </c>
      <c r="W33" s="11">
        <f>IFERROR(Q33/J33,"")</f>
        <v/>
      </c>
      <c r="X33" s="11">
        <f>IFERROR(O33/J33,"")</f>
        <v/>
      </c>
    </row>
  </sheetData>
  <conditionalFormatting sqref="U2:U33">
    <cfRule type="cellIs" priority="1" operator="lessThan" dxfId="0">
      <formula>0.02</formula>
    </cfRule>
    <cfRule type="cellIs" priority="2" operator="greaterThanOrEqual" dxfId="1">
      <formula>0.04</formula>
    </cfRule>
  </conditionalFormatting>
  <conditionalFormatting sqref="W2:W33">
    <cfRule type="cellIs" priority="3" operator="lessThan" dxfId="0">
      <formula>0.015</formula>
    </cfRule>
    <cfRule type="cellIs" priority="4" operator="greaterThanOrEqual" dxfId="1">
      <formula>0.03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2" customWidth="1" min="4" max="4"/>
    <col width="40" customWidth="1" min="5" max="5"/>
  </cols>
  <sheetData>
    <row r="1">
      <c r="A1" s="6" t="inlineStr">
        <is>
          <t>Goal (7 days)</t>
        </is>
      </c>
      <c r="B1" s="6" t="inlineStr">
        <is>
          <t>Target</t>
        </is>
      </c>
      <c r="C1" s="6" t="inlineStr">
        <is>
          <t>Actual (from Daily tracker days 1-7)</t>
        </is>
      </c>
      <c r="D1" s="6" t="inlineStr">
        <is>
          <t>Progress</t>
        </is>
      </c>
      <c r="E1" s="6" t="inlineStr">
        <is>
          <t>Status</t>
        </is>
      </c>
    </row>
    <row r="2">
      <c r="A2" s="7" t="inlineStr">
        <is>
          <t>Followers gained (TikTok + Instagram)</t>
        </is>
      </c>
      <c r="B2" s="9" t="n">
        <v>100</v>
      </c>
      <c r="C2" s="12">
        <f>MAX(0,(MAX('Daily tracker'!D2:D8)-'Daily tracker'!D2)+(MAX('Daily tracker'!E2:E8)-'Daily tracker'!E2))</f>
        <v/>
      </c>
      <c r="D2" s="13">
        <f>IFERROR(C2/B2,0)</f>
        <v/>
      </c>
      <c r="E2" s="12">
        <f>IF(D2&gt;=1,"Hit",IF(D2&gt;=0.5,"On the way","Behind: see Decision rules"))</f>
        <v/>
      </c>
    </row>
    <row r="3">
      <c r="A3" s="7" t="inlineStr">
        <is>
          <t>Website sessions</t>
        </is>
      </c>
      <c r="B3" s="9" t="n">
        <v>500</v>
      </c>
      <c r="C3" s="12">
        <f>SUM('Daily tracker'!J2:J8)</f>
        <v/>
      </c>
      <c r="D3" s="13">
        <f>IFERROR(C3/B3,0)</f>
        <v/>
      </c>
      <c r="E3" s="12">
        <f>IF(D3&gt;=1,"Hit",IF(D3&gt;=0.5,"On the way","Behind: see Decision rules"))</f>
        <v/>
      </c>
    </row>
    <row r="4">
      <c r="A4" s="7" t="inlineStr">
        <is>
          <t>Email subscribers</t>
        </is>
      </c>
      <c r="B4" s="9" t="n">
        <v>10</v>
      </c>
      <c r="C4" s="12">
        <f>SUM('Daily tracker'!Q2:Q8)</f>
        <v/>
      </c>
      <c r="D4" s="13">
        <f>IFERROR(C4/B4,0)</f>
        <v/>
      </c>
      <c r="E4" s="12">
        <f>IF(D4&gt;=1,"Hit",IF(D4&gt;=0.5,"On the way","Behind: see Decision rules"))</f>
        <v/>
      </c>
    </row>
    <row r="5">
      <c r="A5" s="7" t="inlineStr">
        <is>
          <t>Orders</t>
        </is>
      </c>
      <c r="B5" s="9" t="n">
        <v>1</v>
      </c>
      <c r="C5" s="12">
        <f>SUM('Daily tracker'!O2:O8)</f>
        <v/>
      </c>
      <c r="D5" s="13">
        <f>IFERROR(C5/B5,0)</f>
        <v/>
      </c>
      <c r="E5" s="12">
        <f>IF(D5&gt;=1,"Hit",IF(D5&gt;=0.5,"On the way","Behind: see Decision rules"))</f>
        <v/>
      </c>
    </row>
    <row r="7">
      <c r="A7" s="14" t="inlineStr">
        <is>
          <t>These are goals, not guarantees. Hitting 'Behind' on day 3 is normal for a brand-new account; use the rules, not panic.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16" customWidth="1" min="3" max="3"/>
    <col width="52" customWidth="1" min="4" max="4"/>
  </cols>
  <sheetData>
    <row r="1">
      <c r="A1" s="6" t="inlineStr">
        <is>
          <t>Metric</t>
        </is>
      </c>
      <c r="B1" s="6" t="inlineStr">
        <is>
          <t>Where to find it</t>
        </is>
      </c>
      <c r="C1" s="6" t="inlineStr">
        <is>
          <t>Available now?</t>
        </is>
      </c>
      <c r="D1" s="6" t="inlineStr">
        <is>
          <t>Notes</t>
        </is>
      </c>
    </row>
    <row r="2">
      <c r="A2" s="15" t="inlineStr">
        <is>
          <t>TikTok views, shares, profile views</t>
        </is>
      </c>
      <c r="B2" s="15" t="inlineStr">
        <is>
          <t>TikTok app &gt; Profile &gt; menu &gt; TikTok Studio &gt; Analytics</t>
        </is>
      </c>
      <c r="C2" s="15" t="inlineStr">
        <is>
          <t>Yes</t>
        </is>
      </c>
      <c r="D2" s="15" t="inlineStr">
        <is>
          <t>Switch to a free Business account for more detail</t>
        </is>
      </c>
    </row>
    <row r="3">
      <c r="A3" s="15" t="inlineStr">
        <is>
          <t>TikTok bio link clicks</t>
        </is>
      </c>
      <c r="B3" s="15" t="inlineStr">
        <is>
          <t>TikTok Studio &gt; Analytics &gt; Overview</t>
        </is>
      </c>
      <c r="C3" s="15" t="inlineStr">
        <is>
          <t>Needs setup</t>
        </is>
      </c>
      <c r="D3" s="15" t="inlineStr">
        <is>
          <t>Business account required; a clickable bio link may need 1,000 followers on personal accounts. Otherwise NA</t>
        </is>
      </c>
    </row>
    <row r="4">
      <c r="A4" s="15" t="inlineStr">
        <is>
          <t>Instagram views, shares (sends), saves, profile visits</t>
        </is>
      </c>
      <c r="B4" s="15" t="inlineStr">
        <is>
          <t>Instagram &gt; Professional dashboard &gt; Insights &gt; each Reel</t>
        </is>
      </c>
      <c r="C4" s="15" t="inlineStr">
        <is>
          <t>Yes</t>
        </is>
      </c>
      <c r="D4" s="15" t="inlineStr">
        <is>
          <t>Switch to a Professional (Creator/Business) account if not already</t>
        </is>
      </c>
    </row>
    <row r="5">
      <c r="A5" s="15" t="inlineStr">
        <is>
          <t>Instagram link taps</t>
        </is>
      </c>
      <c r="B5" s="15" t="inlineStr">
        <is>
          <t>Professional dashboard &gt; Account insights &gt; Profile activity</t>
        </is>
      </c>
      <c r="C5" s="15" t="inlineStr">
        <is>
          <t>Yes</t>
        </is>
      </c>
      <c r="D5" s="15" t="inlineStr"/>
    </row>
    <row r="6">
      <c r="A6" s="15" t="inlineStr">
        <is>
          <t>Site sessions; sessions from social</t>
        </is>
      </c>
      <c r="B6" s="15" t="inlineStr">
        <is>
          <t>Shopify admin &gt; Analytics &gt; Reports &gt; Sessions over time / Sessions by referrer</t>
        </is>
      </c>
      <c r="C6" s="15" t="inlineStr">
        <is>
          <t>Yes</t>
        </is>
      </c>
      <c r="D6" s="15" t="inlineStr">
        <is>
          <t>Use UTM links (UTM builder in the marketing dashboard) so social traffic isn't lumped into 'direct'</t>
        </is>
      </c>
    </row>
    <row r="7">
      <c r="A7" s="15" t="inlineStr">
        <is>
          <t>Product page views</t>
        </is>
      </c>
      <c r="B7" s="15" t="inlineStr">
        <is>
          <t>Shopify admin &gt; Analytics &gt; Reports &gt; Sessions by landing page; or the Conversion funnel</t>
        </is>
      </c>
      <c r="C7" s="15" t="inlineStr">
        <is>
          <t>Partly</t>
        </is>
      </c>
      <c r="D7" s="15" t="inlineStr">
        <is>
          <t>Basic plan shows the funnel; per-product views may be limited. Use NA if missing</t>
        </is>
      </c>
    </row>
    <row r="8">
      <c r="A8" s="15" t="inlineStr">
        <is>
          <t>Add to cart, checkouts reached, orders</t>
        </is>
      </c>
      <c r="B8" s="15" t="inlineStr">
        <is>
          <t>Shopify admin &gt; Analytics &gt; Conversion rate breakdown (funnel)</t>
        </is>
      </c>
      <c r="C8" s="15" t="inlineStr">
        <is>
          <t>Yes</t>
        </is>
      </c>
      <c r="D8" s="15" t="inlineStr"/>
    </row>
    <row r="9">
      <c r="A9" s="15" t="inlineStr">
        <is>
          <t>Email signups</t>
        </is>
      </c>
      <c r="B9" s="15" t="inlineStr">
        <is>
          <t>Shopify admin &gt; Customers &gt; filter 'Email subscription status: subscribed' + tag newsletter</t>
        </is>
      </c>
      <c r="C9" s="15" t="inlineStr">
        <is>
          <t>Yes</t>
        </is>
      </c>
      <c r="D9" s="15" t="inlineStr">
        <is>
          <t>Tags show source:popup or source:footer</t>
        </is>
      </c>
    </row>
    <row r="10">
      <c r="A10" s="15" t="inlineStr">
        <is>
          <t>IRON10 uses</t>
        </is>
      </c>
      <c r="B10" s="15" t="inlineStr">
        <is>
          <t>Shopify admin &gt; Analytics &gt; Reports &gt; Sales by discount</t>
        </is>
      </c>
      <c r="C10" s="15" t="inlineStr">
        <is>
          <t>After setup</t>
        </is>
      </c>
      <c r="D10" s="15" t="inlineStr">
        <is>
          <t>Discount must be created first (07_EMAIL_SYSTEM.md)</t>
        </is>
      </c>
    </row>
    <row r="11">
      <c r="A11" s="15" t="inlineStr">
        <is>
          <t>Outreach sent / replies</t>
        </is>
      </c>
      <c r="B11" s="15" t="inlineStr">
        <is>
          <t>08 outreach tracker (CSV)</t>
        </is>
      </c>
      <c r="C11" s="15" t="inlineStr">
        <is>
          <t>Yes</t>
        </is>
      </c>
      <c r="D11" s="15" t="inlineStr">
        <is>
          <t>Only count messages you approved and sent yourself</t>
        </is>
      </c>
    </row>
    <row r="12">
      <c r="A12" s="16" t="inlineStr">
        <is>
          <t>Ad spend, CPC, cost per order</t>
        </is>
      </c>
      <c r="B12" s="16" t="inlineStr">
        <is>
          <t>Meta Ads / TikTok Ads Manager</t>
        </is>
      </c>
      <c r="C12" s="16" t="inlineStr">
        <is>
          <t>Unavailable</t>
        </is>
      </c>
      <c r="D12" s="16" t="inlineStr">
        <is>
          <t>No paid ads are running. Leave NA.</t>
        </is>
      </c>
    </row>
    <row r="13">
      <c r="A13" s="16" t="inlineStr">
        <is>
          <t>Heatmaps / session recordings</t>
        </is>
      </c>
      <c r="B13" s="16" t="inlineStr">
        <is>
          <t>Not installed</t>
        </is>
      </c>
      <c r="C13" s="16" t="inlineStr">
        <is>
          <t>Unavailable</t>
        </is>
      </c>
      <c r="D13" s="16" t="inlineStr">
        <is>
          <t>Optional later (Microsoft Clarity is free); not needed for the first sale</t>
        </is>
      </c>
    </row>
    <row r="14">
      <c r="A14" s="16" t="inlineStr">
        <is>
          <t>Page speed</t>
        </is>
      </c>
      <c r="B14" s="16" t="inlineStr">
        <is>
          <t>PageSpeed Insights (pagespeed.web.dev)</t>
        </is>
      </c>
      <c r="C14" s="16" t="inlineStr">
        <is>
          <t>Not measured</t>
        </is>
      </c>
      <c r="D14" s="16" t="inlineStr">
        <is>
          <t>API quota blocked the automated test. Run it manually once and note the mobile 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52" customWidth="1" min="3" max="3"/>
    <col width="30" customWidth="1" min="4" max="4"/>
  </cols>
  <sheetData>
    <row r="1">
      <c r="A1" s="6" t="inlineStr">
        <is>
          <t>If you see this (after at least 3 posts or 3 days)</t>
        </is>
      </c>
      <c r="B1" s="6" t="inlineStr">
        <is>
          <t>Likely cause</t>
        </is>
      </c>
      <c r="C1" s="6" t="inlineStr">
        <is>
          <t>Do this next</t>
        </is>
      </c>
      <c r="D1" s="6" t="inlineStr">
        <is>
          <t>Don't</t>
        </is>
      </c>
    </row>
    <row r="2" ht="60" customHeight="1">
      <c r="A2" s="15" t="inlineStr">
        <is>
          <t>Views under 300 on most posts</t>
        </is>
      </c>
      <c r="B2" s="15" t="inlineStr">
        <is>
          <t>Hook or first frame isn't stopping the scroll</t>
        </is>
      </c>
      <c r="C2" s="15" t="inlineStr">
        <is>
          <t>Re-post the best footage with a new first card (hook variants in 04_CAMPAIGN_PACKAGES). Post 1–2x daily at consistent times</t>
        </is>
      </c>
      <c r="D2" s="15" t="inlineStr">
        <is>
          <t>Don't buy views or followers</t>
        </is>
      </c>
    </row>
    <row r="3" ht="60" customHeight="1">
      <c r="A3" s="15" t="inlineStr">
        <is>
          <t>Views OK but shares/saves under 1 per 1K</t>
        </is>
      </c>
      <c r="B3" s="15" t="inlineStr">
        <is>
          <t>Content is nice-looking but gives no reason to send</t>
        </is>
      </c>
      <c r="C3" s="15" t="inlineStr">
        <is>
          <t>Use 'send this to your lifting partner' / 'which verse' angles; add a question in the caption</t>
        </is>
      </c>
      <c r="D3" s="15" t="inlineStr">
        <is>
          <t>Don't add fake urgency</t>
        </is>
      </c>
    </row>
    <row r="4" ht="60" customHeight="1">
      <c r="A4" s="15" t="inlineStr">
        <is>
          <t>Profile visits OK but link clicks under 2%</t>
        </is>
      </c>
      <c r="B4" s="15" t="inlineStr">
        <is>
          <t>Bio doesn't explain what/why/where</t>
        </is>
      </c>
      <c r="C4" s="15" t="inlineStr">
        <is>
          <t>Bio: 'Christian gym wear. Scripture on the back. Printed to order.' + pinned post showing both shirts + price</t>
        </is>
      </c>
      <c r="D4" s="15" t="inlineStr">
        <is>
          <t>Don't use a multi-link page that adds a tap</t>
        </is>
      </c>
    </row>
    <row r="5" ht="60" customHeight="1">
      <c r="A5" s="15" t="inlineStr">
        <is>
          <t>Sessions OK but add-to-cart under 2%</t>
        </is>
      </c>
      <c r="B5" s="15" t="inlineStr">
        <is>
          <t>Product page trust gaps</t>
        </is>
      </c>
      <c r="C5" s="15" t="inlineStr">
        <is>
          <t>Add shipping/returns line, fabric facts, size help; check mobile gallery</t>
        </is>
      </c>
      <c r="D5" s="15" t="inlineStr">
        <is>
          <t>Don't cut price yet</t>
        </is>
      </c>
    </row>
    <row r="6" ht="60" customHeight="1">
      <c r="A6" s="15" t="inlineStr">
        <is>
          <t>Add-to-cart OK (4%+) but checkout→order under 25%</t>
        </is>
      </c>
      <c r="B6" s="15" t="inlineStr">
        <is>
          <t>Surprise at checkout (shipping cost/time) or payment</t>
        </is>
      </c>
      <c r="C6" s="15" t="inlineStr">
        <is>
          <t>Show shipping price + free-shipping threshold on product page; confirm honest delivery labels</t>
        </is>
      </c>
      <c r="D6" s="15" t="inlineStr">
        <is>
          <t>Don't stack discounts below $8 contribution</t>
        </is>
      </c>
    </row>
    <row r="7" ht="60" customHeight="1">
      <c r="A7" s="15" t="inlineStr">
        <is>
          <t>Signup rate under 1.5% of sessions</t>
        </is>
      </c>
      <c r="B7" s="15" t="inlineStr">
        <is>
          <t>Popup offer not compelling or not live</t>
        </is>
      </c>
      <c r="C7" s="15" t="inlineStr">
        <is>
          <t>Turn on the IRON10 welcome offer and update popup copy</t>
        </is>
      </c>
      <c r="D7" s="15" t="inlineStr">
        <is>
          <t>Don't show the popup sooner than 30s on product pages</t>
        </is>
      </c>
    </row>
    <row r="8" ht="60" customHeight="1">
      <c r="A8" s="15" t="inlineStr">
        <is>
          <t>Creator reply rate under 10% after 20 messages</t>
        </is>
      </c>
      <c r="B8" s="15" t="inlineStr">
        <is>
          <t>Message too generic or wrong creators</t>
        </is>
      </c>
      <c r="C8" s="15" t="inlineStr">
        <is>
          <t>Rewrite opening line around a specific post of theirs; prefer 2K–30K follower creators</t>
        </is>
      </c>
      <c r="D8" s="15" t="inlineStr">
        <is>
          <t>Don't send without your approval; never follow-up more than once</t>
        </is>
      </c>
    </row>
    <row r="9" ht="60" customHeight="1">
      <c r="A9" s="15" t="inlineStr">
        <is>
          <t>First sale arrives</t>
        </is>
      </c>
      <c r="B9" s="15" t="inlineStr">
        <is>
          <t>Something worked</t>
        </is>
      </c>
      <c r="C9" s="15" t="inlineStr">
        <is>
          <t>Log the source (UTM / discount / referrer), thank the customer, ask (once, after delivery) for an honest photo review</t>
        </is>
      </c>
      <c r="D9" s="15" t="inlineStr">
        <is>
          <t>Don't post the order as social proof without permission</t>
        </is>
      </c>
    </row>
    <row r="10" ht="60" customHeight="1">
      <c r="A10" s="15" t="inlineStr">
        <is>
          <t>Any post gets 10x your average</t>
        </is>
      </c>
      <c r="B10" s="15" t="inlineStr">
        <is>
          <t>Format/hook found</t>
        </is>
      </c>
      <c r="C10" s="15" t="inlineStr">
        <is>
          <t>Make 3 variations within 72 hours (same idea, new hook/footage); pin it</t>
        </is>
      </c>
      <c r="D10" s="15" t="inlineStr">
        <is>
          <t>Don't change everything at once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60" customWidth="1" min="4" max="4"/>
  </cols>
  <sheetData>
    <row r="1">
      <c r="A1" s="6" t="inlineStr">
        <is>
          <t>Input (yellow = edit)</t>
        </is>
      </c>
      <c r="B1" s="6" t="inlineStr">
        <is>
          <t>Tee</t>
        </is>
      </c>
      <c r="C1" s="6" t="inlineStr">
        <is>
          <t>Long sleeve</t>
        </is>
      </c>
      <c r="D1" s="6" t="inlineStr">
        <is>
          <t>Notes</t>
        </is>
      </c>
    </row>
    <row r="2">
      <c r="A2" s="7" t="inlineStr">
        <is>
          <t>Product price</t>
        </is>
      </c>
      <c r="B2" s="17" t="n">
        <v>34.99</v>
      </c>
      <c r="C2" s="17" t="n">
        <v>44.99</v>
      </c>
      <c r="D2" s="15" t="inlineStr">
        <is>
          <t>Live price 11 Oct 2026</t>
        </is>
      </c>
    </row>
    <row r="3">
      <c r="A3" s="7" t="inlineStr">
        <is>
          <t>Discount %</t>
        </is>
      </c>
      <c r="B3" s="18" t="n">
        <v>0.1</v>
      </c>
      <c r="C3" s="18" t="n">
        <v>0.1</v>
      </c>
      <c r="D3" s="15" t="inlineStr">
        <is>
          <t>10% = IRON10 welcome code; 0 for full price</t>
        </is>
      </c>
    </row>
    <row r="4">
      <c r="A4" s="7" t="inlineStr">
        <is>
          <t>Customer shipping paid</t>
        </is>
      </c>
      <c r="B4" s="17" t="n">
        <v>8</v>
      </c>
      <c r="C4" s="17" t="n">
        <v>8</v>
      </c>
      <c r="D4" s="15" t="inlineStr">
        <is>
          <t>Standard rate at checkout; 0 if the order qualifies for free shipping</t>
        </is>
      </c>
    </row>
    <row r="5">
      <c r="A5" s="7" t="inlineStr">
        <is>
          <t>PODpartner garment + print</t>
        </is>
      </c>
      <c r="B5" s="17" t="n">
        <v>18.5</v>
      </c>
      <c r="C5" s="17" t="n">
        <v>20</v>
      </c>
      <c r="D5" s="15" t="inlineStr">
        <is>
          <t>ESTIMATE (range $16–21 tee, $16–24 LS). Replace with your invoice cost</t>
        </is>
      </c>
    </row>
    <row r="6">
      <c r="A6" s="7" t="inlineStr">
        <is>
          <t>PODpartner shipping</t>
        </is>
      </c>
      <c r="B6" s="17" t="n">
        <v>4.96</v>
      </c>
      <c r="C6" s="17" t="n">
        <v>5.78</v>
      </c>
      <c r="D6" s="15" t="inlineStr">
        <is>
          <t>US standard first item, podpartner.com/shipping, 11 Oct 2026</t>
        </is>
      </c>
    </row>
    <row r="7">
      <c r="A7" s="7" t="inlineStr">
        <is>
          <t>Payment fee %</t>
        </is>
      </c>
      <c r="B7" s="19" t="n">
        <v>0.029</v>
      </c>
      <c r="C7" s="19" t="n">
        <v>0.029</v>
      </c>
      <c r="D7" s="15" t="inlineStr">
        <is>
          <t>Shopify Payments Basic, US card (assumption)</t>
        </is>
      </c>
    </row>
    <row r="8">
      <c r="A8" s="7" t="inlineStr">
        <is>
          <t>Payment fee fixed</t>
        </is>
      </c>
      <c r="B8" s="17" t="n">
        <v>0.3</v>
      </c>
      <c r="C8" s="17" t="n">
        <v>0.3</v>
      </c>
      <c r="D8" s="15" t="inlineStr"/>
    </row>
    <row r="9">
      <c r="A9" s="7" t="inlineStr">
        <is>
          <t>Misprint/loss reserve</t>
        </is>
      </c>
      <c r="B9" s="17" t="n">
        <v>1</v>
      </c>
      <c r="C9" s="17" t="n">
        <v>1</v>
      </c>
      <c r="D9" s="15" t="inlineStr">
        <is>
          <t>Planning allowance</t>
        </is>
      </c>
    </row>
    <row r="10">
      <c r="A10" s="20" t="inlineStr">
        <is>
          <t>Results</t>
        </is>
      </c>
      <c r="B10" s="7" t="n"/>
      <c r="C10" s="7" t="n"/>
      <c r="D10" s="7" t="n"/>
    </row>
    <row r="11">
      <c r="A11" s="7" t="inlineStr">
        <is>
          <t>Customer pays</t>
        </is>
      </c>
      <c r="B11" s="21">
        <f>B2*(1-B3)+B4</f>
        <v/>
      </c>
      <c r="C11" s="21">
        <f>C2*(1-C3)+C4</f>
        <v/>
      </c>
      <c r="D11" s="7" t="n"/>
    </row>
    <row r="12">
      <c r="A12" s="7" t="inlineStr">
        <is>
          <t>Payment fee</t>
        </is>
      </c>
      <c r="B12" s="21">
        <f>B11*B7+B8</f>
        <v/>
      </c>
      <c r="C12" s="21">
        <f>C11*C7+C8</f>
        <v/>
      </c>
      <c r="D12" s="7" t="n"/>
    </row>
    <row r="13">
      <c r="A13" s="7" t="inlineStr">
        <is>
          <t>Contribution per order</t>
        </is>
      </c>
      <c r="B13" s="21">
        <f>B11-B12-B5-B6-B9</f>
        <v/>
      </c>
      <c r="C13" s="21">
        <f>C11-C12-C5-C6-C9</f>
        <v/>
      </c>
      <c r="D13" s="7" t="n"/>
    </row>
    <row r="14">
      <c r="A14" s="7" t="inlineStr">
        <is>
          <t>Contribution margin</t>
        </is>
      </c>
      <c r="B14" s="10">
        <f>IFERROR(B13/B11,0)</f>
        <v/>
      </c>
      <c r="C14" s="10">
        <f>IFERROR(C13/C11,0)</f>
        <v/>
      </c>
      <c r="D14" s="7" t="n"/>
    </row>
    <row r="15">
      <c r="A15" s="7" t="inlineStr">
        <is>
          <t>Break-even cost per order (max to spend acquiring one)</t>
        </is>
      </c>
      <c r="B15" s="21">
        <f>B13</f>
        <v/>
      </c>
      <c r="C15" s="21">
        <f>C13</f>
        <v/>
      </c>
      <c r="D15" s="7" t="n"/>
    </row>
    <row r="16">
      <c r="A16" s="7" t="n"/>
      <c r="B16" s="7" t="n"/>
      <c r="C16" s="7" t="n"/>
      <c r="D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2026-10-11T20:00:35Z</dcterms:created>
  <dcterms:modified xmlns:dcterms="http://purl.org/dc/terms/" xmlns:xsi="http://www.w3.org/2001/XMLSchema-instance" xsi:type="dcterms:W3CDTF">2026-10-11T20:00:35Z</dcterms:modified>
</cp:coreProperties>
</file>